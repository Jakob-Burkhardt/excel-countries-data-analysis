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ain_Directory\Random_Stuff\Countries_Data_Analysis\"/>
    </mc:Choice>
  </mc:AlternateContent>
  <xr:revisionPtr revIDLastSave="0" documentId="13_ncr:10000001_{50BF1025-0F29-4446-A32F-B55A241D484A}" xr6:coauthVersionLast="47" xr6:coauthVersionMax="47" xr10:uidLastSave="{00000000-0000-0000-0000-000000000000}"/>
  <bookViews>
    <workbookView xWindow="-108" yWindow="-108" windowWidth="30936" windowHeight="16776" activeTab="4" xr2:uid="{AAF1A4A9-3B07-46C5-95D5-FDE0BA610016}"/>
  </bookViews>
  <sheets>
    <sheet name="Data" sheetId="2" r:id="rId1"/>
    <sheet name="Best Country" sheetId="1" r:id="rId2"/>
    <sheet name="Best Country (help)" sheetId="7" state="hidden" r:id="rId3"/>
    <sheet name="Best Country (diagrams)" sheetId="8" state="hidden" r:id="rId4"/>
    <sheet name="Correlations" sheetId="9" r:id="rId5"/>
    <sheet name="Correlations (help)" sheetId="10" state="hidden" r:id="rId6"/>
  </sheets>
  <definedNames>
    <definedName name="_xlnm._FilterDatabase" localSheetId="1" hidden="1">'Best Country'!$G$3:$G$3</definedName>
    <definedName name="_xlnm._FilterDatabase" localSheetId="4" hidden="1">Correlations!$A$5:$G$5</definedName>
    <definedName name="_xlchart.v1.4" hidden="1">'Correlations (help)'!$G$20</definedName>
    <definedName name="_xlchart.v1.5" hidden="1">'Correlations (help)'!$G$21:$G$185</definedName>
    <definedName name="_xlchart.v1.6" hidden="1">'Correlations (help)'!$E$20</definedName>
    <definedName name="_xlchart.v1.7" hidden="1">'Correlations (help)'!$E$21:$E$213</definedName>
    <definedName name="_xlchart.v5.0" hidden="1">'Best Country (help)'!$A$36</definedName>
    <definedName name="_xlchart.v5.1" hidden="1">'Best Country (help)'!$A$37:$A$113</definedName>
    <definedName name="_xlchart.v5.2" hidden="1">'Best Country (help)'!$B$36</definedName>
    <definedName name="_xlchart.v5.3" hidden="1">'Best Country (help)'!$B$37:$B$113</definedName>
    <definedName name="diagram_changer">IF('Best Country'!$L$3="Map", 'Best Country (diagrams)'!$A$1:$G$19, 'Best Country (diagrams)'!$A$22:$G$40)</definedName>
    <definedName name="ExterneDaten_1" localSheetId="0" hidden="1">Data!$A$1:$AO$235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9" l="1" a="1"/>
  <c r="C23" i="9" s="1"/>
  <c r="C20" i="9" a="1"/>
  <c r="C20" i="9" s="1"/>
  <c r="A23" i="9"/>
  <c r="A20" i="9"/>
  <c r="S21" i="10" a="1"/>
  <c r="S21" i="10" s="1"/>
  <c r="R21" i="10" a="1"/>
  <c r="Q21" i="10" a="1"/>
  <c r="P21" i="10" a="1"/>
  <c r="O21" i="10" a="1"/>
  <c r="O21" i="10" s="1"/>
  <c r="N21" i="10" a="1"/>
  <c r="M21" i="10" a="1"/>
  <c r="L21" i="10" a="1"/>
  <c r="I21" i="10" a="1"/>
  <c r="I21" i="10" s="1"/>
  <c r="K1" i="10"/>
  <c r="G20" i="10" s="1"/>
  <c r="J1" i="10"/>
  <c r="E20" i="10" s="1"/>
  <c r="I17" i="9" a="1"/>
  <c r="I17" i="9" s="1"/>
  <c r="J16" i="9" a="1"/>
  <c r="J16" i="9" s="1"/>
  <c r="D7" i="9" a="1"/>
  <c r="D7" i="9" s="1"/>
  <c r="Y238" i="7"/>
  <c r="W238" i="7"/>
  <c r="U238" i="7"/>
  <c r="S238" i="7"/>
  <c r="Q238" i="7"/>
  <c r="O238" i="7"/>
  <c r="M238" i="7"/>
  <c r="K238" i="7"/>
  <c r="I238" i="7"/>
  <c r="Y237" i="7"/>
  <c r="W237" i="7"/>
  <c r="U237" i="7"/>
  <c r="S237" i="7"/>
  <c r="Q237" i="7"/>
  <c r="O237" i="7"/>
  <c r="M237" i="7"/>
  <c r="K237" i="7"/>
  <c r="I237" i="7"/>
  <c r="Y236" i="7"/>
  <c r="W236" i="7"/>
  <c r="U236" i="7"/>
  <c r="S236" i="7"/>
  <c r="Q236" i="7"/>
  <c r="O236" i="7"/>
  <c r="M236" i="7"/>
  <c r="K236" i="7"/>
  <c r="I236" i="7"/>
  <c r="Y235" i="7"/>
  <c r="W235" i="7"/>
  <c r="U235" i="7"/>
  <c r="S235" i="7"/>
  <c r="Q235" i="7"/>
  <c r="O235" i="7"/>
  <c r="M235" i="7"/>
  <c r="K235" i="7"/>
  <c r="I235" i="7"/>
  <c r="Y234" i="7"/>
  <c r="W234" i="7"/>
  <c r="U234" i="7"/>
  <c r="S234" i="7"/>
  <c r="Q234" i="7"/>
  <c r="O234" i="7"/>
  <c r="M234" i="7"/>
  <c r="K234" i="7"/>
  <c r="I234" i="7"/>
  <c r="Y233" i="7"/>
  <c r="W233" i="7"/>
  <c r="U233" i="7"/>
  <c r="S233" i="7"/>
  <c r="Q233" i="7"/>
  <c r="O233" i="7"/>
  <c r="M233" i="7"/>
  <c r="K233" i="7"/>
  <c r="I233" i="7"/>
  <c r="Y232" i="7"/>
  <c r="W232" i="7"/>
  <c r="U232" i="7"/>
  <c r="S232" i="7"/>
  <c r="Q232" i="7"/>
  <c r="O232" i="7"/>
  <c r="M232" i="7"/>
  <c r="K232" i="7"/>
  <c r="I232" i="7"/>
  <c r="Y231" i="7"/>
  <c r="W231" i="7"/>
  <c r="U231" i="7"/>
  <c r="S231" i="7"/>
  <c r="Q231" i="7"/>
  <c r="O231" i="7"/>
  <c r="M231" i="7"/>
  <c r="K231" i="7"/>
  <c r="I231" i="7"/>
  <c r="Y230" i="7"/>
  <c r="W230" i="7"/>
  <c r="U230" i="7"/>
  <c r="S230" i="7"/>
  <c r="Q230" i="7"/>
  <c r="O230" i="7"/>
  <c r="M230" i="7"/>
  <c r="K230" i="7"/>
  <c r="I230" i="7"/>
  <c r="Y229" i="7"/>
  <c r="W229" i="7"/>
  <c r="U229" i="7"/>
  <c r="S229" i="7"/>
  <c r="Q229" i="7"/>
  <c r="O229" i="7"/>
  <c r="M229" i="7"/>
  <c r="K229" i="7"/>
  <c r="I229" i="7"/>
  <c r="Y228" i="7"/>
  <c r="W228" i="7"/>
  <c r="U228" i="7"/>
  <c r="S228" i="7"/>
  <c r="Q228" i="7"/>
  <c r="O228" i="7"/>
  <c r="M228" i="7"/>
  <c r="K228" i="7"/>
  <c r="I228" i="7"/>
  <c r="Y227" i="7"/>
  <c r="W227" i="7"/>
  <c r="U227" i="7"/>
  <c r="S227" i="7"/>
  <c r="Q227" i="7"/>
  <c r="O227" i="7"/>
  <c r="M227" i="7"/>
  <c r="K227" i="7"/>
  <c r="I227" i="7"/>
  <c r="Y226" i="7"/>
  <c r="W226" i="7"/>
  <c r="U226" i="7"/>
  <c r="S226" i="7"/>
  <c r="Q226" i="7"/>
  <c r="O226" i="7"/>
  <c r="M226" i="7"/>
  <c r="K226" i="7"/>
  <c r="I226" i="7"/>
  <c r="Y225" i="7"/>
  <c r="W225" i="7"/>
  <c r="U225" i="7"/>
  <c r="S225" i="7"/>
  <c r="Q225" i="7"/>
  <c r="O225" i="7"/>
  <c r="M225" i="7"/>
  <c r="K225" i="7"/>
  <c r="I225" i="7"/>
  <c r="Y224" i="7"/>
  <c r="W224" i="7"/>
  <c r="U224" i="7"/>
  <c r="S224" i="7"/>
  <c r="Q224" i="7"/>
  <c r="O224" i="7"/>
  <c r="M224" i="7"/>
  <c r="K224" i="7"/>
  <c r="I224" i="7"/>
  <c r="Y223" i="7"/>
  <c r="W223" i="7"/>
  <c r="U223" i="7"/>
  <c r="S223" i="7"/>
  <c r="Q223" i="7"/>
  <c r="O223" i="7"/>
  <c r="M223" i="7"/>
  <c r="K223" i="7"/>
  <c r="I223" i="7"/>
  <c r="Y222" i="7"/>
  <c r="W222" i="7"/>
  <c r="U222" i="7"/>
  <c r="S222" i="7"/>
  <c r="Q222" i="7"/>
  <c r="O222" i="7"/>
  <c r="M222" i="7"/>
  <c r="K222" i="7"/>
  <c r="I222" i="7"/>
  <c r="Y221" i="7"/>
  <c r="W221" i="7"/>
  <c r="U221" i="7"/>
  <c r="S221" i="7"/>
  <c r="Q221" i="7"/>
  <c r="O221" i="7"/>
  <c r="M221" i="7"/>
  <c r="K221" i="7"/>
  <c r="I221" i="7"/>
  <c r="Y220" i="7"/>
  <c r="W220" i="7"/>
  <c r="U220" i="7"/>
  <c r="S220" i="7"/>
  <c r="Q220" i="7"/>
  <c r="O220" i="7"/>
  <c r="M220" i="7"/>
  <c r="K220" i="7"/>
  <c r="I220" i="7"/>
  <c r="Y219" i="7"/>
  <c r="W219" i="7"/>
  <c r="U219" i="7"/>
  <c r="S219" i="7"/>
  <c r="Q219" i="7"/>
  <c r="O219" i="7"/>
  <c r="M219" i="7"/>
  <c r="K219" i="7"/>
  <c r="I219" i="7"/>
  <c r="Y218" i="7"/>
  <c r="W218" i="7"/>
  <c r="U218" i="7"/>
  <c r="S218" i="7"/>
  <c r="Q218" i="7"/>
  <c r="O218" i="7"/>
  <c r="M218" i="7"/>
  <c r="K218" i="7"/>
  <c r="I218" i="7"/>
  <c r="Y217" i="7"/>
  <c r="W217" i="7"/>
  <c r="U217" i="7"/>
  <c r="S217" i="7"/>
  <c r="Q217" i="7"/>
  <c r="O217" i="7"/>
  <c r="M217" i="7"/>
  <c r="K217" i="7"/>
  <c r="I217" i="7"/>
  <c r="Y216" i="7"/>
  <c r="W216" i="7"/>
  <c r="U216" i="7"/>
  <c r="S216" i="7"/>
  <c r="Q216" i="7"/>
  <c r="O216" i="7"/>
  <c r="M216" i="7"/>
  <c r="K216" i="7"/>
  <c r="I216" i="7"/>
  <c r="Y215" i="7"/>
  <c r="W215" i="7"/>
  <c r="U215" i="7"/>
  <c r="S215" i="7"/>
  <c r="Q215" i="7"/>
  <c r="O215" i="7"/>
  <c r="M215" i="7"/>
  <c r="K215" i="7"/>
  <c r="I215" i="7"/>
  <c r="Y214" i="7"/>
  <c r="W214" i="7"/>
  <c r="U214" i="7"/>
  <c r="S214" i="7"/>
  <c r="Q214" i="7"/>
  <c r="O214" i="7"/>
  <c r="M214" i="7"/>
  <c r="K214" i="7"/>
  <c r="I214" i="7"/>
  <c r="Y213" i="7"/>
  <c r="W213" i="7"/>
  <c r="U213" i="7"/>
  <c r="S213" i="7"/>
  <c r="Q213" i="7"/>
  <c r="O213" i="7"/>
  <c r="M213" i="7"/>
  <c r="K213" i="7"/>
  <c r="I213" i="7"/>
  <c r="Y212" i="7"/>
  <c r="W212" i="7"/>
  <c r="U212" i="7"/>
  <c r="S212" i="7"/>
  <c r="Q212" i="7"/>
  <c r="O212" i="7"/>
  <c r="M212" i="7"/>
  <c r="K212" i="7"/>
  <c r="I212" i="7"/>
  <c r="Y211" i="7"/>
  <c r="W211" i="7"/>
  <c r="U211" i="7"/>
  <c r="S211" i="7"/>
  <c r="Q211" i="7"/>
  <c r="O211" i="7"/>
  <c r="M211" i="7"/>
  <c r="K211" i="7"/>
  <c r="I211" i="7"/>
  <c r="Y210" i="7"/>
  <c r="W210" i="7"/>
  <c r="U210" i="7"/>
  <c r="S210" i="7"/>
  <c r="Q210" i="7"/>
  <c r="O210" i="7"/>
  <c r="M210" i="7"/>
  <c r="K210" i="7"/>
  <c r="I210" i="7"/>
  <c r="Y209" i="7"/>
  <c r="W209" i="7"/>
  <c r="U209" i="7"/>
  <c r="S209" i="7"/>
  <c r="Q209" i="7"/>
  <c r="O209" i="7"/>
  <c r="M209" i="7"/>
  <c r="K209" i="7"/>
  <c r="I209" i="7"/>
  <c r="Y208" i="7"/>
  <c r="W208" i="7"/>
  <c r="U208" i="7"/>
  <c r="S208" i="7"/>
  <c r="Q208" i="7"/>
  <c r="O208" i="7"/>
  <c r="M208" i="7"/>
  <c r="K208" i="7"/>
  <c r="I208" i="7"/>
  <c r="Y207" i="7"/>
  <c r="W207" i="7"/>
  <c r="U207" i="7"/>
  <c r="S207" i="7"/>
  <c r="Q207" i="7"/>
  <c r="O207" i="7"/>
  <c r="M207" i="7"/>
  <c r="K207" i="7"/>
  <c r="I207" i="7"/>
  <c r="Y206" i="7"/>
  <c r="W206" i="7"/>
  <c r="U206" i="7"/>
  <c r="S206" i="7"/>
  <c r="Q206" i="7"/>
  <c r="O206" i="7"/>
  <c r="M206" i="7"/>
  <c r="K206" i="7"/>
  <c r="I206" i="7"/>
  <c r="Y205" i="7"/>
  <c r="W205" i="7"/>
  <c r="U205" i="7"/>
  <c r="S205" i="7"/>
  <c r="Q205" i="7"/>
  <c r="O205" i="7"/>
  <c r="M205" i="7"/>
  <c r="K205" i="7"/>
  <c r="I205" i="7"/>
  <c r="Y204" i="7"/>
  <c r="W204" i="7"/>
  <c r="U204" i="7"/>
  <c r="S204" i="7"/>
  <c r="Q204" i="7"/>
  <c r="O204" i="7"/>
  <c r="M204" i="7"/>
  <c r="K204" i="7"/>
  <c r="I204" i="7"/>
  <c r="Y203" i="7"/>
  <c r="W203" i="7"/>
  <c r="U203" i="7"/>
  <c r="S203" i="7"/>
  <c r="Q203" i="7"/>
  <c r="O203" i="7"/>
  <c r="M203" i="7"/>
  <c r="K203" i="7"/>
  <c r="I203" i="7"/>
  <c r="Y202" i="7"/>
  <c r="W202" i="7"/>
  <c r="U202" i="7"/>
  <c r="S202" i="7"/>
  <c r="Q202" i="7"/>
  <c r="O202" i="7"/>
  <c r="M202" i="7"/>
  <c r="K202" i="7"/>
  <c r="I202" i="7"/>
  <c r="Y201" i="7"/>
  <c r="W201" i="7"/>
  <c r="U201" i="7"/>
  <c r="S201" i="7"/>
  <c r="Q201" i="7"/>
  <c r="O201" i="7"/>
  <c r="M201" i="7"/>
  <c r="K201" i="7"/>
  <c r="I201" i="7"/>
  <c r="Y200" i="7"/>
  <c r="W200" i="7"/>
  <c r="U200" i="7"/>
  <c r="S200" i="7"/>
  <c r="Q200" i="7"/>
  <c r="O200" i="7"/>
  <c r="M200" i="7"/>
  <c r="K200" i="7"/>
  <c r="I200" i="7"/>
  <c r="Y199" i="7"/>
  <c r="W199" i="7"/>
  <c r="U199" i="7"/>
  <c r="S199" i="7"/>
  <c r="Q199" i="7"/>
  <c r="O199" i="7"/>
  <c r="M199" i="7"/>
  <c r="K199" i="7"/>
  <c r="I199" i="7"/>
  <c r="Y198" i="7"/>
  <c r="W198" i="7"/>
  <c r="U198" i="7"/>
  <c r="S198" i="7"/>
  <c r="Q198" i="7"/>
  <c r="O198" i="7"/>
  <c r="M198" i="7"/>
  <c r="K198" i="7"/>
  <c r="I198" i="7"/>
  <c r="Y197" i="7"/>
  <c r="W197" i="7"/>
  <c r="U197" i="7"/>
  <c r="S197" i="7"/>
  <c r="Q197" i="7"/>
  <c r="O197" i="7"/>
  <c r="M197" i="7"/>
  <c r="K197" i="7"/>
  <c r="I197" i="7"/>
  <c r="Y196" i="7"/>
  <c r="W196" i="7"/>
  <c r="U196" i="7"/>
  <c r="S196" i="7"/>
  <c r="Q196" i="7"/>
  <c r="O196" i="7"/>
  <c r="M196" i="7"/>
  <c r="K196" i="7"/>
  <c r="I196" i="7"/>
  <c r="Y195" i="7"/>
  <c r="W195" i="7"/>
  <c r="U195" i="7"/>
  <c r="S195" i="7"/>
  <c r="Q195" i="7"/>
  <c r="O195" i="7"/>
  <c r="M195" i="7"/>
  <c r="K195" i="7"/>
  <c r="I195" i="7"/>
  <c r="Y194" i="7"/>
  <c r="W194" i="7"/>
  <c r="U194" i="7"/>
  <c r="S194" i="7"/>
  <c r="Q194" i="7"/>
  <c r="O194" i="7"/>
  <c r="M194" i="7"/>
  <c r="K194" i="7"/>
  <c r="I194" i="7"/>
  <c r="Y193" i="7"/>
  <c r="W193" i="7"/>
  <c r="U193" i="7"/>
  <c r="S193" i="7"/>
  <c r="Q193" i="7"/>
  <c r="O193" i="7"/>
  <c r="M193" i="7"/>
  <c r="K193" i="7"/>
  <c r="I193" i="7"/>
  <c r="Y192" i="7"/>
  <c r="W192" i="7"/>
  <c r="U192" i="7"/>
  <c r="S192" i="7"/>
  <c r="Q192" i="7"/>
  <c r="O192" i="7"/>
  <c r="M192" i="7"/>
  <c r="K192" i="7"/>
  <c r="I192" i="7"/>
  <c r="Y191" i="7"/>
  <c r="W191" i="7"/>
  <c r="U191" i="7"/>
  <c r="S191" i="7"/>
  <c r="Q191" i="7"/>
  <c r="O191" i="7"/>
  <c r="M191" i="7"/>
  <c r="K191" i="7"/>
  <c r="I191" i="7"/>
  <c r="Y190" i="7"/>
  <c r="W190" i="7"/>
  <c r="U190" i="7"/>
  <c r="S190" i="7"/>
  <c r="Q190" i="7"/>
  <c r="O190" i="7"/>
  <c r="M190" i="7"/>
  <c r="K190" i="7"/>
  <c r="I190" i="7"/>
  <c r="Y189" i="7"/>
  <c r="W189" i="7"/>
  <c r="U189" i="7"/>
  <c r="S189" i="7"/>
  <c r="Q189" i="7"/>
  <c r="O189" i="7"/>
  <c r="M189" i="7"/>
  <c r="K189" i="7"/>
  <c r="I189" i="7"/>
  <c r="Y188" i="7"/>
  <c r="W188" i="7"/>
  <c r="U188" i="7"/>
  <c r="S188" i="7"/>
  <c r="Q188" i="7"/>
  <c r="O188" i="7"/>
  <c r="M188" i="7"/>
  <c r="K188" i="7"/>
  <c r="I188" i="7"/>
  <c r="Y187" i="7"/>
  <c r="W187" i="7"/>
  <c r="U187" i="7"/>
  <c r="S187" i="7"/>
  <c r="Q187" i="7"/>
  <c r="O187" i="7"/>
  <c r="M187" i="7"/>
  <c r="K187" i="7"/>
  <c r="I187" i="7"/>
  <c r="Y186" i="7"/>
  <c r="W186" i="7"/>
  <c r="U186" i="7"/>
  <c r="S186" i="7"/>
  <c r="Q186" i="7"/>
  <c r="O186" i="7"/>
  <c r="M186" i="7"/>
  <c r="K186" i="7"/>
  <c r="I186" i="7"/>
  <c r="Y185" i="7"/>
  <c r="W185" i="7"/>
  <c r="U185" i="7"/>
  <c r="S185" i="7"/>
  <c r="Q185" i="7"/>
  <c r="O185" i="7"/>
  <c r="M185" i="7"/>
  <c r="K185" i="7"/>
  <c r="I185" i="7"/>
  <c r="Y184" i="7"/>
  <c r="W184" i="7"/>
  <c r="U184" i="7"/>
  <c r="S184" i="7"/>
  <c r="Q184" i="7"/>
  <c r="O184" i="7"/>
  <c r="M184" i="7"/>
  <c r="K184" i="7"/>
  <c r="I184" i="7"/>
  <c r="Y183" i="7"/>
  <c r="W183" i="7"/>
  <c r="U183" i="7"/>
  <c r="S183" i="7"/>
  <c r="Q183" i="7"/>
  <c r="O183" i="7"/>
  <c r="M183" i="7"/>
  <c r="K183" i="7"/>
  <c r="I183" i="7"/>
  <c r="Y182" i="7"/>
  <c r="W182" i="7"/>
  <c r="U182" i="7"/>
  <c r="S182" i="7"/>
  <c r="Q182" i="7"/>
  <c r="O182" i="7"/>
  <c r="M182" i="7"/>
  <c r="K182" i="7"/>
  <c r="I182" i="7"/>
  <c r="Y181" i="7"/>
  <c r="W181" i="7"/>
  <c r="U181" i="7"/>
  <c r="S181" i="7"/>
  <c r="Q181" i="7"/>
  <c r="O181" i="7"/>
  <c r="M181" i="7"/>
  <c r="K181" i="7"/>
  <c r="I181" i="7"/>
  <c r="Y180" i="7"/>
  <c r="W180" i="7"/>
  <c r="U180" i="7"/>
  <c r="S180" i="7"/>
  <c r="Q180" i="7"/>
  <c r="O180" i="7"/>
  <c r="M180" i="7"/>
  <c r="K180" i="7"/>
  <c r="I180" i="7"/>
  <c r="Y179" i="7"/>
  <c r="W179" i="7"/>
  <c r="U179" i="7"/>
  <c r="S179" i="7"/>
  <c r="Q179" i="7"/>
  <c r="O179" i="7"/>
  <c r="M179" i="7"/>
  <c r="K179" i="7"/>
  <c r="I179" i="7"/>
  <c r="Y178" i="7"/>
  <c r="W178" i="7"/>
  <c r="U178" i="7"/>
  <c r="S178" i="7"/>
  <c r="Q178" i="7"/>
  <c r="O178" i="7"/>
  <c r="M178" i="7"/>
  <c r="K178" i="7"/>
  <c r="I178" i="7"/>
  <c r="Y177" i="7"/>
  <c r="W177" i="7"/>
  <c r="U177" i="7"/>
  <c r="S177" i="7"/>
  <c r="Q177" i="7"/>
  <c r="O177" i="7"/>
  <c r="M177" i="7"/>
  <c r="K177" i="7"/>
  <c r="I177" i="7"/>
  <c r="Y176" i="7"/>
  <c r="W176" i="7"/>
  <c r="U176" i="7"/>
  <c r="S176" i="7"/>
  <c r="Q176" i="7"/>
  <c r="O176" i="7"/>
  <c r="M176" i="7"/>
  <c r="K176" i="7"/>
  <c r="I176" i="7"/>
  <c r="Y175" i="7"/>
  <c r="W175" i="7"/>
  <c r="U175" i="7"/>
  <c r="S175" i="7"/>
  <c r="Q175" i="7"/>
  <c r="O175" i="7"/>
  <c r="M175" i="7"/>
  <c r="K175" i="7"/>
  <c r="I175" i="7"/>
  <c r="Y174" i="7"/>
  <c r="W174" i="7"/>
  <c r="U174" i="7"/>
  <c r="S174" i="7"/>
  <c r="Q174" i="7"/>
  <c r="O174" i="7"/>
  <c r="M174" i="7"/>
  <c r="K174" i="7"/>
  <c r="I174" i="7"/>
  <c r="Y173" i="7"/>
  <c r="W173" i="7"/>
  <c r="U173" i="7"/>
  <c r="S173" i="7"/>
  <c r="Q173" i="7"/>
  <c r="O173" i="7"/>
  <c r="M173" i="7"/>
  <c r="K173" i="7"/>
  <c r="I173" i="7"/>
  <c r="Y172" i="7"/>
  <c r="W172" i="7"/>
  <c r="U172" i="7"/>
  <c r="S172" i="7"/>
  <c r="Q172" i="7"/>
  <c r="O172" i="7"/>
  <c r="M172" i="7"/>
  <c r="K172" i="7"/>
  <c r="I172" i="7"/>
  <c r="Y171" i="7"/>
  <c r="W171" i="7"/>
  <c r="U171" i="7"/>
  <c r="S171" i="7"/>
  <c r="Q171" i="7"/>
  <c r="O171" i="7"/>
  <c r="M171" i="7"/>
  <c r="K171" i="7"/>
  <c r="I171" i="7"/>
  <c r="Y170" i="7"/>
  <c r="W170" i="7"/>
  <c r="U170" i="7"/>
  <c r="S170" i="7"/>
  <c r="Q170" i="7"/>
  <c r="O170" i="7"/>
  <c r="M170" i="7"/>
  <c r="K170" i="7"/>
  <c r="I170" i="7"/>
  <c r="Y169" i="7"/>
  <c r="W169" i="7"/>
  <c r="U169" i="7"/>
  <c r="S169" i="7"/>
  <c r="Q169" i="7"/>
  <c r="O169" i="7"/>
  <c r="M169" i="7"/>
  <c r="K169" i="7"/>
  <c r="I169" i="7"/>
  <c r="Y168" i="7"/>
  <c r="W168" i="7"/>
  <c r="U168" i="7"/>
  <c r="S168" i="7"/>
  <c r="Q168" i="7"/>
  <c r="O168" i="7"/>
  <c r="M168" i="7"/>
  <c r="K168" i="7"/>
  <c r="I168" i="7"/>
  <c r="Y167" i="7"/>
  <c r="W167" i="7"/>
  <c r="U167" i="7"/>
  <c r="S167" i="7"/>
  <c r="Q167" i="7"/>
  <c r="O167" i="7"/>
  <c r="M167" i="7"/>
  <c r="K167" i="7"/>
  <c r="I167" i="7"/>
  <c r="Y166" i="7"/>
  <c r="W166" i="7"/>
  <c r="U166" i="7"/>
  <c r="S166" i="7"/>
  <c r="Q166" i="7"/>
  <c r="O166" i="7"/>
  <c r="M166" i="7"/>
  <c r="K166" i="7"/>
  <c r="I166" i="7"/>
  <c r="Y165" i="7"/>
  <c r="W165" i="7"/>
  <c r="U165" i="7"/>
  <c r="S165" i="7"/>
  <c r="Q165" i="7"/>
  <c r="O165" i="7"/>
  <c r="M165" i="7"/>
  <c r="K165" i="7"/>
  <c r="I165" i="7"/>
  <c r="Y164" i="7"/>
  <c r="W164" i="7"/>
  <c r="U164" i="7"/>
  <c r="S164" i="7"/>
  <c r="Q164" i="7"/>
  <c r="O164" i="7"/>
  <c r="M164" i="7"/>
  <c r="K164" i="7"/>
  <c r="I164" i="7"/>
  <c r="Y163" i="7"/>
  <c r="W163" i="7"/>
  <c r="U163" i="7"/>
  <c r="S163" i="7"/>
  <c r="Q163" i="7"/>
  <c r="O163" i="7"/>
  <c r="M163" i="7"/>
  <c r="K163" i="7"/>
  <c r="I163" i="7"/>
  <c r="Y162" i="7"/>
  <c r="W162" i="7"/>
  <c r="U162" i="7"/>
  <c r="S162" i="7"/>
  <c r="Q162" i="7"/>
  <c r="O162" i="7"/>
  <c r="M162" i="7"/>
  <c r="K162" i="7"/>
  <c r="I162" i="7"/>
  <c r="Y161" i="7"/>
  <c r="W161" i="7"/>
  <c r="U161" i="7"/>
  <c r="S161" i="7"/>
  <c r="Q161" i="7"/>
  <c r="O161" i="7"/>
  <c r="M161" i="7"/>
  <c r="K161" i="7"/>
  <c r="I161" i="7"/>
  <c r="Y160" i="7"/>
  <c r="W160" i="7"/>
  <c r="U160" i="7"/>
  <c r="S160" i="7"/>
  <c r="Q160" i="7"/>
  <c r="O160" i="7"/>
  <c r="M160" i="7"/>
  <c r="K160" i="7"/>
  <c r="I160" i="7"/>
  <c r="Y159" i="7"/>
  <c r="W159" i="7"/>
  <c r="U159" i="7"/>
  <c r="S159" i="7"/>
  <c r="Q159" i="7"/>
  <c r="O159" i="7"/>
  <c r="M159" i="7"/>
  <c r="K159" i="7"/>
  <c r="I159" i="7"/>
  <c r="Y158" i="7"/>
  <c r="W158" i="7"/>
  <c r="U158" i="7"/>
  <c r="S158" i="7"/>
  <c r="Q158" i="7"/>
  <c r="O158" i="7"/>
  <c r="M158" i="7"/>
  <c r="K158" i="7"/>
  <c r="I158" i="7"/>
  <c r="Y157" i="7"/>
  <c r="W157" i="7"/>
  <c r="U157" i="7"/>
  <c r="S157" i="7"/>
  <c r="Q157" i="7"/>
  <c r="O157" i="7"/>
  <c r="M157" i="7"/>
  <c r="K157" i="7"/>
  <c r="I157" i="7"/>
  <c r="Y156" i="7"/>
  <c r="W156" i="7"/>
  <c r="U156" i="7"/>
  <c r="S156" i="7"/>
  <c r="Q156" i="7"/>
  <c r="O156" i="7"/>
  <c r="M156" i="7"/>
  <c r="K156" i="7"/>
  <c r="I156" i="7"/>
  <c r="Y155" i="7"/>
  <c r="W155" i="7"/>
  <c r="U155" i="7"/>
  <c r="S155" i="7"/>
  <c r="Q155" i="7"/>
  <c r="O155" i="7"/>
  <c r="M155" i="7"/>
  <c r="K155" i="7"/>
  <c r="I155" i="7"/>
  <c r="Y154" i="7"/>
  <c r="W154" i="7"/>
  <c r="U154" i="7"/>
  <c r="S154" i="7"/>
  <c r="Q154" i="7"/>
  <c r="O154" i="7"/>
  <c r="M154" i="7"/>
  <c r="K154" i="7"/>
  <c r="I154" i="7"/>
  <c r="Y153" i="7"/>
  <c r="W153" i="7"/>
  <c r="U153" i="7"/>
  <c r="S153" i="7"/>
  <c r="Q153" i="7"/>
  <c r="O153" i="7"/>
  <c r="M153" i="7"/>
  <c r="K153" i="7"/>
  <c r="I153" i="7"/>
  <c r="Y152" i="7"/>
  <c r="W152" i="7"/>
  <c r="U152" i="7"/>
  <c r="S152" i="7"/>
  <c r="Q152" i="7"/>
  <c r="O152" i="7"/>
  <c r="M152" i="7"/>
  <c r="K152" i="7"/>
  <c r="I152" i="7"/>
  <c r="Y151" i="7"/>
  <c r="W151" i="7"/>
  <c r="U151" i="7"/>
  <c r="S151" i="7"/>
  <c r="Q151" i="7"/>
  <c r="O151" i="7"/>
  <c r="M151" i="7"/>
  <c r="K151" i="7"/>
  <c r="I151" i="7"/>
  <c r="Y150" i="7"/>
  <c r="W150" i="7"/>
  <c r="U150" i="7"/>
  <c r="S150" i="7"/>
  <c r="Q150" i="7"/>
  <c r="O150" i="7"/>
  <c r="M150" i="7"/>
  <c r="K150" i="7"/>
  <c r="I150" i="7"/>
  <c r="Y149" i="7"/>
  <c r="W149" i="7"/>
  <c r="U149" i="7"/>
  <c r="S149" i="7"/>
  <c r="Q149" i="7"/>
  <c r="O149" i="7"/>
  <c r="M149" i="7"/>
  <c r="K149" i="7"/>
  <c r="I149" i="7"/>
  <c r="Y148" i="7"/>
  <c r="W148" i="7"/>
  <c r="U148" i="7"/>
  <c r="S148" i="7"/>
  <c r="Q148" i="7"/>
  <c r="O148" i="7"/>
  <c r="M148" i="7"/>
  <c r="K148" i="7"/>
  <c r="I148" i="7"/>
  <c r="Y147" i="7"/>
  <c r="W147" i="7"/>
  <c r="U147" i="7"/>
  <c r="S147" i="7"/>
  <c r="Q147" i="7"/>
  <c r="O147" i="7"/>
  <c r="M147" i="7"/>
  <c r="K147" i="7"/>
  <c r="I147" i="7"/>
  <c r="Y146" i="7"/>
  <c r="W146" i="7"/>
  <c r="U146" i="7"/>
  <c r="S146" i="7"/>
  <c r="Q146" i="7"/>
  <c r="O146" i="7"/>
  <c r="M146" i="7"/>
  <c r="K146" i="7"/>
  <c r="I146" i="7"/>
  <c r="Y145" i="7"/>
  <c r="W145" i="7"/>
  <c r="U145" i="7"/>
  <c r="S145" i="7"/>
  <c r="Q145" i="7"/>
  <c r="O145" i="7"/>
  <c r="M145" i="7"/>
  <c r="K145" i="7"/>
  <c r="I145" i="7"/>
  <c r="Y144" i="7"/>
  <c r="W144" i="7"/>
  <c r="U144" i="7"/>
  <c r="S144" i="7"/>
  <c r="Q144" i="7"/>
  <c r="O144" i="7"/>
  <c r="M144" i="7"/>
  <c r="K144" i="7"/>
  <c r="I144" i="7"/>
  <c r="Y143" i="7"/>
  <c r="W143" i="7"/>
  <c r="U143" i="7"/>
  <c r="S143" i="7"/>
  <c r="Q143" i="7"/>
  <c r="O143" i="7"/>
  <c r="M143" i="7"/>
  <c r="K143" i="7"/>
  <c r="I143" i="7"/>
  <c r="Y142" i="7"/>
  <c r="W142" i="7"/>
  <c r="U142" i="7"/>
  <c r="S142" i="7"/>
  <c r="Q142" i="7"/>
  <c r="O142" i="7"/>
  <c r="M142" i="7"/>
  <c r="K142" i="7"/>
  <c r="I142" i="7"/>
  <c r="Y141" i="7"/>
  <c r="W141" i="7"/>
  <c r="U141" i="7"/>
  <c r="S141" i="7"/>
  <c r="Q141" i="7"/>
  <c r="O141" i="7"/>
  <c r="M141" i="7"/>
  <c r="K141" i="7"/>
  <c r="I141" i="7"/>
  <c r="Y140" i="7"/>
  <c r="W140" i="7"/>
  <c r="U140" i="7"/>
  <c r="S140" i="7"/>
  <c r="Q140" i="7"/>
  <c r="O140" i="7"/>
  <c r="M140" i="7"/>
  <c r="K140" i="7"/>
  <c r="I140" i="7"/>
  <c r="Y139" i="7"/>
  <c r="W139" i="7"/>
  <c r="U139" i="7"/>
  <c r="S139" i="7"/>
  <c r="Q139" i="7"/>
  <c r="O139" i="7"/>
  <c r="M139" i="7"/>
  <c r="K139" i="7"/>
  <c r="I139" i="7"/>
  <c r="Y138" i="7"/>
  <c r="W138" i="7"/>
  <c r="U138" i="7"/>
  <c r="S138" i="7"/>
  <c r="Q138" i="7"/>
  <c r="O138" i="7"/>
  <c r="M138" i="7"/>
  <c r="K138" i="7"/>
  <c r="I138" i="7"/>
  <c r="Y137" i="7"/>
  <c r="W137" i="7"/>
  <c r="U137" i="7"/>
  <c r="S137" i="7"/>
  <c r="Q137" i="7"/>
  <c r="O137" i="7"/>
  <c r="M137" i="7"/>
  <c r="K137" i="7"/>
  <c r="I137" i="7"/>
  <c r="Y136" i="7"/>
  <c r="W136" i="7"/>
  <c r="U136" i="7"/>
  <c r="S136" i="7"/>
  <c r="Q136" i="7"/>
  <c r="O136" i="7"/>
  <c r="M136" i="7"/>
  <c r="K136" i="7"/>
  <c r="I136" i="7"/>
  <c r="Y135" i="7"/>
  <c r="W135" i="7"/>
  <c r="U135" i="7"/>
  <c r="S135" i="7"/>
  <c r="Q135" i="7"/>
  <c r="O135" i="7"/>
  <c r="M135" i="7"/>
  <c r="K135" i="7"/>
  <c r="I135" i="7"/>
  <c r="Y134" i="7"/>
  <c r="W134" i="7"/>
  <c r="U134" i="7"/>
  <c r="S134" i="7"/>
  <c r="Q134" i="7"/>
  <c r="O134" i="7"/>
  <c r="M134" i="7"/>
  <c r="K134" i="7"/>
  <c r="I134" i="7"/>
  <c r="Y133" i="7"/>
  <c r="W133" i="7"/>
  <c r="U133" i="7"/>
  <c r="S133" i="7"/>
  <c r="Q133" i="7"/>
  <c r="O133" i="7"/>
  <c r="M133" i="7"/>
  <c r="K133" i="7"/>
  <c r="I133" i="7"/>
  <c r="Y132" i="7"/>
  <c r="W132" i="7"/>
  <c r="U132" i="7"/>
  <c r="S132" i="7"/>
  <c r="Q132" i="7"/>
  <c r="O132" i="7"/>
  <c r="M132" i="7"/>
  <c r="K132" i="7"/>
  <c r="I132" i="7"/>
  <c r="Y131" i="7"/>
  <c r="W131" i="7"/>
  <c r="U131" i="7"/>
  <c r="S131" i="7"/>
  <c r="Q131" i="7"/>
  <c r="O131" i="7"/>
  <c r="M131" i="7"/>
  <c r="K131" i="7"/>
  <c r="I131" i="7"/>
  <c r="Y130" i="7"/>
  <c r="W130" i="7"/>
  <c r="U130" i="7"/>
  <c r="S130" i="7"/>
  <c r="Q130" i="7"/>
  <c r="O130" i="7"/>
  <c r="M130" i="7"/>
  <c r="K130" i="7"/>
  <c r="I130" i="7"/>
  <c r="Y129" i="7"/>
  <c r="W129" i="7"/>
  <c r="U129" i="7"/>
  <c r="S129" i="7"/>
  <c r="Q129" i="7"/>
  <c r="O129" i="7"/>
  <c r="M129" i="7"/>
  <c r="K129" i="7"/>
  <c r="I129" i="7"/>
  <c r="Y128" i="7"/>
  <c r="W128" i="7"/>
  <c r="U128" i="7"/>
  <c r="S128" i="7"/>
  <c r="Q128" i="7"/>
  <c r="O128" i="7"/>
  <c r="M128" i="7"/>
  <c r="K128" i="7"/>
  <c r="I128" i="7"/>
  <c r="Y127" i="7"/>
  <c r="W127" i="7"/>
  <c r="U127" i="7"/>
  <c r="S127" i="7"/>
  <c r="Q127" i="7"/>
  <c r="O127" i="7"/>
  <c r="M127" i="7"/>
  <c r="K127" i="7"/>
  <c r="I127" i="7"/>
  <c r="Y126" i="7"/>
  <c r="W126" i="7"/>
  <c r="U126" i="7"/>
  <c r="S126" i="7"/>
  <c r="Q126" i="7"/>
  <c r="O126" i="7"/>
  <c r="M126" i="7"/>
  <c r="K126" i="7"/>
  <c r="I126" i="7"/>
  <c r="Y125" i="7"/>
  <c r="W125" i="7"/>
  <c r="U125" i="7"/>
  <c r="S125" i="7"/>
  <c r="Q125" i="7"/>
  <c r="O125" i="7"/>
  <c r="M125" i="7"/>
  <c r="K125" i="7"/>
  <c r="I125" i="7"/>
  <c r="Y124" i="7"/>
  <c r="W124" i="7"/>
  <c r="U124" i="7"/>
  <c r="S124" i="7"/>
  <c r="Q124" i="7"/>
  <c r="O124" i="7"/>
  <c r="M124" i="7"/>
  <c r="K124" i="7"/>
  <c r="I124" i="7"/>
  <c r="Y123" i="7"/>
  <c r="W123" i="7"/>
  <c r="U123" i="7"/>
  <c r="S123" i="7"/>
  <c r="Q123" i="7"/>
  <c r="O123" i="7"/>
  <c r="M123" i="7"/>
  <c r="K123" i="7"/>
  <c r="I123" i="7"/>
  <c r="Y122" i="7"/>
  <c r="W122" i="7"/>
  <c r="U122" i="7"/>
  <c r="S122" i="7"/>
  <c r="Q122" i="7"/>
  <c r="O122" i="7"/>
  <c r="M122" i="7"/>
  <c r="K122" i="7"/>
  <c r="I122" i="7"/>
  <c r="Y121" i="7"/>
  <c r="W121" i="7"/>
  <c r="U121" i="7"/>
  <c r="S121" i="7"/>
  <c r="Q121" i="7"/>
  <c r="O121" i="7"/>
  <c r="M121" i="7"/>
  <c r="K121" i="7"/>
  <c r="I121" i="7"/>
  <c r="Y120" i="7"/>
  <c r="W120" i="7"/>
  <c r="U120" i="7"/>
  <c r="S120" i="7"/>
  <c r="Q120" i="7"/>
  <c r="O120" i="7"/>
  <c r="M120" i="7"/>
  <c r="K120" i="7"/>
  <c r="I120" i="7"/>
  <c r="Y119" i="7"/>
  <c r="W119" i="7"/>
  <c r="U119" i="7"/>
  <c r="S119" i="7"/>
  <c r="Q119" i="7"/>
  <c r="O119" i="7"/>
  <c r="M119" i="7"/>
  <c r="K119" i="7"/>
  <c r="I119" i="7"/>
  <c r="Y118" i="7"/>
  <c r="W118" i="7"/>
  <c r="U118" i="7"/>
  <c r="S118" i="7"/>
  <c r="Q118" i="7"/>
  <c r="O118" i="7"/>
  <c r="M118" i="7"/>
  <c r="K118" i="7"/>
  <c r="I118" i="7"/>
  <c r="Y117" i="7"/>
  <c r="W117" i="7"/>
  <c r="U117" i="7"/>
  <c r="S117" i="7"/>
  <c r="Q117" i="7"/>
  <c r="O117" i="7"/>
  <c r="M117" i="7"/>
  <c r="K117" i="7"/>
  <c r="I117" i="7"/>
  <c r="Y116" i="7"/>
  <c r="W116" i="7"/>
  <c r="U116" i="7"/>
  <c r="S116" i="7"/>
  <c r="Q116" i="7"/>
  <c r="O116" i="7"/>
  <c r="M116" i="7"/>
  <c r="K116" i="7"/>
  <c r="I116" i="7"/>
  <c r="Y115" i="7"/>
  <c r="W115" i="7"/>
  <c r="U115" i="7"/>
  <c r="S115" i="7"/>
  <c r="Q115" i="7"/>
  <c r="O115" i="7"/>
  <c r="M115" i="7"/>
  <c r="K115" i="7"/>
  <c r="I115" i="7"/>
  <c r="Y114" i="7"/>
  <c r="W114" i="7"/>
  <c r="U114" i="7"/>
  <c r="S114" i="7"/>
  <c r="Q114" i="7"/>
  <c r="O114" i="7"/>
  <c r="M114" i="7"/>
  <c r="K114" i="7"/>
  <c r="I114" i="7"/>
  <c r="Y113" i="7"/>
  <c r="W113" i="7"/>
  <c r="U113" i="7"/>
  <c r="S113" i="7"/>
  <c r="Q113" i="7"/>
  <c r="O113" i="7"/>
  <c r="M113" i="7"/>
  <c r="K113" i="7"/>
  <c r="I113" i="7"/>
  <c r="Y112" i="7"/>
  <c r="W112" i="7"/>
  <c r="U112" i="7"/>
  <c r="S112" i="7"/>
  <c r="Q112" i="7"/>
  <c r="O112" i="7"/>
  <c r="M112" i="7"/>
  <c r="K112" i="7"/>
  <c r="I112" i="7"/>
  <c r="Y111" i="7"/>
  <c r="W111" i="7"/>
  <c r="U111" i="7"/>
  <c r="S111" i="7"/>
  <c r="Q111" i="7"/>
  <c r="O111" i="7"/>
  <c r="M111" i="7"/>
  <c r="K111" i="7"/>
  <c r="I111" i="7"/>
  <c r="Y110" i="7"/>
  <c r="W110" i="7"/>
  <c r="U110" i="7"/>
  <c r="S110" i="7"/>
  <c r="Q110" i="7"/>
  <c r="O110" i="7"/>
  <c r="M110" i="7"/>
  <c r="K110" i="7"/>
  <c r="I110" i="7"/>
  <c r="Y109" i="7"/>
  <c r="W109" i="7"/>
  <c r="U109" i="7"/>
  <c r="S109" i="7"/>
  <c r="Q109" i="7"/>
  <c r="O109" i="7"/>
  <c r="M109" i="7"/>
  <c r="K109" i="7"/>
  <c r="I109" i="7"/>
  <c r="Y108" i="7"/>
  <c r="W108" i="7"/>
  <c r="U108" i="7"/>
  <c r="S108" i="7"/>
  <c r="Q108" i="7"/>
  <c r="O108" i="7"/>
  <c r="M108" i="7"/>
  <c r="K108" i="7"/>
  <c r="I108" i="7"/>
  <c r="Y107" i="7"/>
  <c r="W107" i="7"/>
  <c r="U107" i="7"/>
  <c r="S107" i="7"/>
  <c r="Q107" i="7"/>
  <c r="O107" i="7"/>
  <c r="M107" i="7"/>
  <c r="K107" i="7"/>
  <c r="I107" i="7"/>
  <c r="Y106" i="7"/>
  <c r="W106" i="7"/>
  <c r="U106" i="7"/>
  <c r="S106" i="7"/>
  <c r="Q106" i="7"/>
  <c r="O106" i="7"/>
  <c r="M106" i="7"/>
  <c r="K106" i="7"/>
  <c r="I106" i="7"/>
  <c r="Y105" i="7"/>
  <c r="W105" i="7"/>
  <c r="U105" i="7"/>
  <c r="S105" i="7"/>
  <c r="Q105" i="7"/>
  <c r="O105" i="7"/>
  <c r="M105" i="7"/>
  <c r="K105" i="7"/>
  <c r="I105" i="7"/>
  <c r="Y104" i="7"/>
  <c r="W104" i="7"/>
  <c r="U104" i="7"/>
  <c r="S104" i="7"/>
  <c r="Q104" i="7"/>
  <c r="O104" i="7"/>
  <c r="M104" i="7"/>
  <c r="K104" i="7"/>
  <c r="I104" i="7"/>
  <c r="Y103" i="7"/>
  <c r="W103" i="7"/>
  <c r="U103" i="7"/>
  <c r="S103" i="7"/>
  <c r="Q103" i="7"/>
  <c r="O103" i="7"/>
  <c r="M103" i="7"/>
  <c r="K103" i="7"/>
  <c r="I103" i="7"/>
  <c r="Y102" i="7"/>
  <c r="W102" i="7"/>
  <c r="U102" i="7"/>
  <c r="S102" i="7"/>
  <c r="Q102" i="7"/>
  <c r="O102" i="7"/>
  <c r="M102" i="7"/>
  <c r="K102" i="7"/>
  <c r="I102" i="7"/>
  <c r="Y101" i="7"/>
  <c r="W101" i="7"/>
  <c r="U101" i="7"/>
  <c r="S101" i="7"/>
  <c r="Q101" i="7"/>
  <c r="O101" i="7"/>
  <c r="M101" i="7"/>
  <c r="K101" i="7"/>
  <c r="I101" i="7"/>
  <c r="Y100" i="7"/>
  <c r="W100" i="7"/>
  <c r="U100" i="7"/>
  <c r="S100" i="7"/>
  <c r="Q100" i="7"/>
  <c r="O100" i="7"/>
  <c r="M100" i="7"/>
  <c r="K100" i="7"/>
  <c r="I100" i="7"/>
  <c r="Y99" i="7"/>
  <c r="W99" i="7"/>
  <c r="U99" i="7"/>
  <c r="S99" i="7"/>
  <c r="Q99" i="7"/>
  <c r="O99" i="7"/>
  <c r="M99" i="7"/>
  <c r="K99" i="7"/>
  <c r="I99" i="7"/>
  <c r="Y98" i="7"/>
  <c r="W98" i="7"/>
  <c r="U98" i="7"/>
  <c r="S98" i="7"/>
  <c r="Q98" i="7"/>
  <c r="O98" i="7"/>
  <c r="M98" i="7"/>
  <c r="K98" i="7"/>
  <c r="I98" i="7"/>
  <c r="Y97" i="7"/>
  <c r="W97" i="7"/>
  <c r="U97" i="7"/>
  <c r="S97" i="7"/>
  <c r="Q97" i="7"/>
  <c r="O97" i="7"/>
  <c r="M97" i="7"/>
  <c r="K97" i="7"/>
  <c r="I97" i="7"/>
  <c r="Y96" i="7"/>
  <c r="W96" i="7"/>
  <c r="U96" i="7"/>
  <c r="S96" i="7"/>
  <c r="Q96" i="7"/>
  <c r="O96" i="7"/>
  <c r="M96" i="7"/>
  <c r="K96" i="7"/>
  <c r="I96" i="7"/>
  <c r="Y95" i="7"/>
  <c r="W95" i="7"/>
  <c r="U95" i="7"/>
  <c r="S95" i="7"/>
  <c r="Q95" i="7"/>
  <c r="O95" i="7"/>
  <c r="M95" i="7"/>
  <c r="K95" i="7"/>
  <c r="I95" i="7"/>
  <c r="Y94" i="7"/>
  <c r="W94" i="7"/>
  <c r="U94" i="7"/>
  <c r="S94" i="7"/>
  <c r="Q94" i="7"/>
  <c r="O94" i="7"/>
  <c r="M94" i="7"/>
  <c r="K94" i="7"/>
  <c r="I94" i="7"/>
  <c r="Y93" i="7"/>
  <c r="W93" i="7"/>
  <c r="U93" i="7"/>
  <c r="S93" i="7"/>
  <c r="Q93" i="7"/>
  <c r="O93" i="7"/>
  <c r="M93" i="7"/>
  <c r="K93" i="7"/>
  <c r="I93" i="7"/>
  <c r="Y92" i="7"/>
  <c r="W92" i="7"/>
  <c r="U92" i="7"/>
  <c r="S92" i="7"/>
  <c r="Q92" i="7"/>
  <c r="O92" i="7"/>
  <c r="M92" i="7"/>
  <c r="K92" i="7"/>
  <c r="I92" i="7"/>
  <c r="Y91" i="7"/>
  <c r="W91" i="7"/>
  <c r="U91" i="7"/>
  <c r="S91" i="7"/>
  <c r="Q91" i="7"/>
  <c r="O91" i="7"/>
  <c r="M91" i="7"/>
  <c r="K91" i="7"/>
  <c r="I91" i="7"/>
  <c r="Y90" i="7"/>
  <c r="W90" i="7"/>
  <c r="U90" i="7"/>
  <c r="S90" i="7"/>
  <c r="Q90" i="7"/>
  <c r="O90" i="7"/>
  <c r="M90" i="7"/>
  <c r="K90" i="7"/>
  <c r="I90" i="7"/>
  <c r="Y89" i="7"/>
  <c r="W89" i="7"/>
  <c r="U89" i="7"/>
  <c r="S89" i="7"/>
  <c r="Q89" i="7"/>
  <c r="O89" i="7"/>
  <c r="M89" i="7"/>
  <c r="K89" i="7"/>
  <c r="I89" i="7"/>
  <c r="Y88" i="7"/>
  <c r="W88" i="7"/>
  <c r="U88" i="7"/>
  <c r="S88" i="7"/>
  <c r="Q88" i="7"/>
  <c r="O88" i="7"/>
  <c r="M88" i="7"/>
  <c r="K88" i="7"/>
  <c r="I88" i="7"/>
  <c r="Y87" i="7"/>
  <c r="W87" i="7"/>
  <c r="U87" i="7"/>
  <c r="S87" i="7"/>
  <c r="Q87" i="7"/>
  <c r="O87" i="7"/>
  <c r="M87" i="7"/>
  <c r="K87" i="7"/>
  <c r="I87" i="7"/>
  <c r="Y86" i="7"/>
  <c r="W86" i="7"/>
  <c r="U86" i="7"/>
  <c r="S86" i="7"/>
  <c r="Q86" i="7"/>
  <c r="O86" i="7"/>
  <c r="M86" i="7"/>
  <c r="K86" i="7"/>
  <c r="I86" i="7"/>
  <c r="Y85" i="7"/>
  <c r="W85" i="7"/>
  <c r="U85" i="7"/>
  <c r="S85" i="7"/>
  <c r="Q85" i="7"/>
  <c r="O85" i="7"/>
  <c r="M85" i="7"/>
  <c r="K85" i="7"/>
  <c r="I85" i="7"/>
  <c r="Y84" i="7"/>
  <c r="W84" i="7"/>
  <c r="U84" i="7"/>
  <c r="S84" i="7"/>
  <c r="Q84" i="7"/>
  <c r="O84" i="7"/>
  <c r="M84" i="7"/>
  <c r="K84" i="7"/>
  <c r="I84" i="7"/>
  <c r="Y83" i="7"/>
  <c r="W83" i="7"/>
  <c r="U83" i="7"/>
  <c r="S83" i="7"/>
  <c r="Q83" i="7"/>
  <c r="O83" i="7"/>
  <c r="M83" i="7"/>
  <c r="K83" i="7"/>
  <c r="I83" i="7"/>
  <c r="Y82" i="7"/>
  <c r="W82" i="7"/>
  <c r="U82" i="7"/>
  <c r="S82" i="7"/>
  <c r="Q82" i="7"/>
  <c r="O82" i="7"/>
  <c r="M82" i="7"/>
  <c r="K82" i="7"/>
  <c r="I82" i="7"/>
  <c r="Y81" i="7"/>
  <c r="W81" i="7"/>
  <c r="U81" i="7"/>
  <c r="S81" i="7"/>
  <c r="Q81" i="7"/>
  <c r="O81" i="7"/>
  <c r="M81" i="7"/>
  <c r="K81" i="7"/>
  <c r="I81" i="7"/>
  <c r="Y80" i="7"/>
  <c r="W80" i="7"/>
  <c r="U80" i="7"/>
  <c r="S80" i="7"/>
  <c r="Q80" i="7"/>
  <c r="O80" i="7"/>
  <c r="M80" i="7"/>
  <c r="K80" i="7"/>
  <c r="I80" i="7"/>
  <c r="Y79" i="7"/>
  <c r="W79" i="7"/>
  <c r="U79" i="7"/>
  <c r="S79" i="7"/>
  <c r="Q79" i="7"/>
  <c r="O79" i="7"/>
  <c r="M79" i="7"/>
  <c r="K79" i="7"/>
  <c r="I79" i="7"/>
  <c r="Y78" i="7"/>
  <c r="W78" i="7"/>
  <c r="U78" i="7"/>
  <c r="S78" i="7"/>
  <c r="Q78" i="7"/>
  <c r="O78" i="7"/>
  <c r="M78" i="7"/>
  <c r="K78" i="7"/>
  <c r="I78" i="7"/>
  <c r="Y77" i="7"/>
  <c r="W77" i="7"/>
  <c r="U77" i="7"/>
  <c r="S77" i="7"/>
  <c r="Q77" i="7"/>
  <c r="O77" i="7"/>
  <c r="M77" i="7"/>
  <c r="K77" i="7"/>
  <c r="I77" i="7"/>
  <c r="Y76" i="7"/>
  <c r="W76" i="7"/>
  <c r="U76" i="7"/>
  <c r="S76" i="7"/>
  <c r="Q76" i="7"/>
  <c r="O76" i="7"/>
  <c r="M76" i="7"/>
  <c r="K76" i="7"/>
  <c r="I76" i="7"/>
  <c r="Y75" i="7"/>
  <c r="W75" i="7"/>
  <c r="U75" i="7"/>
  <c r="S75" i="7"/>
  <c r="Q75" i="7"/>
  <c r="O75" i="7"/>
  <c r="M75" i="7"/>
  <c r="K75" i="7"/>
  <c r="I75" i="7"/>
  <c r="Y74" i="7"/>
  <c r="W74" i="7"/>
  <c r="U74" i="7"/>
  <c r="S74" i="7"/>
  <c r="Q74" i="7"/>
  <c r="O74" i="7"/>
  <c r="M74" i="7"/>
  <c r="K74" i="7"/>
  <c r="I74" i="7"/>
  <c r="Y73" i="7"/>
  <c r="W73" i="7"/>
  <c r="U73" i="7"/>
  <c r="S73" i="7"/>
  <c r="Q73" i="7"/>
  <c r="O73" i="7"/>
  <c r="M73" i="7"/>
  <c r="K73" i="7"/>
  <c r="I73" i="7"/>
  <c r="Y72" i="7"/>
  <c r="W72" i="7"/>
  <c r="U72" i="7"/>
  <c r="S72" i="7"/>
  <c r="Q72" i="7"/>
  <c r="O72" i="7"/>
  <c r="M72" i="7"/>
  <c r="K72" i="7"/>
  <c r="I72" i="7"/>
  <c r="Y71" i="7"/>
  <c r="W71" i="7"/>
  <c r="U71" i="7"/>
  <c r="S71" i="7"/>
  <c r="Q71" i="7"/>
  <c r="O71" i="7"/>
  <c r="M71" i="7"/>
  <c r="K71" i="7"/>
  <c r="I71" i="7"/>
  <c r="Y70" i="7"/>
  <c r="W70" i="7"/>
  <c r="U70" i="7"/>
  <c r="S70" i="7"/>
  <c r="Q70" i="7"/>
  <c r="O70" i="7"/>
  <c r="M70" i="7"/>
  <c r="K70" i="7"/>
  <c r="I70" i="7"/>
  <c r="Y69" i="7"/>
  <c r="W69" i="7"/>
  <c r="U69" i="7"/>
  <c r="S69" i="7"/>
  <c r="Q69" i="7"/>
  <c r="O69" i="7"/>
  <c r="M69" i="7"/>
  <c r="K69" i="7"/>
  <c r="I69" i="7"/>
  <c r="Y68" i="7"/>
  <c r="W68" i="7"/>
  <c r="U68" i="7"/>
  <c r="S68" i="7"/>
  <c r="Q68" i="7"/>
  <c r="O68" i="7"/>
  <c r="M68" i="7"/>
  <c r="K68" i="7"/>
  <c r="I68" i="7"/>
  <c r="Y67" i="7"/>
  <c r="W67" i="7"/>
  <c r="U67" i="7"/>
  <c r="S67" i="7"/>
  <c r="Q67" i="7"/>
  <c r="O67" i="7"/>
  <c r="M67" i="7"/>
  <c r="K67" i="7"/>
  <c r="I67" i="7"/>
  <c r="Y66" i="7"/>
  <c r="W66" i="7"/>
  <c r="U66" i="7"/>
  <c r="S66" i="7"/>
  <c r="Q66" i="7"/>
  <c r="O66" i="7"/>
  <c r="M66" i="7"/>
  <c r="K66" i="7"/>
  <c r="I66" i="7"/>
  <c r="Y65" i="7"/>
  <c r="W65" i="7"/>
  <c r="U65" i="7"/>
  <c r="S65" i="7"/>
  <c r="Q65" i="7"/>
  <c r="O65" i="7"/>
  <c r="M65" i="7"/>
  <c r="K65" i="7"/>
  <c r="I65" i="7"/>
  <c r="Y64" i="7"/>
  <c r="W64" i="7"/>
  <c r="U64" i="7"/>
  <c r="S64" i="7"/>
  <c r="Q64" i="7"/>
  <c r="O64" i="7"/>
  <c r="M64" i="7"/>
  <c r="K64" i="7"/>
  <c r="I64" i="7"/>
  <c r="Y63" i="7"/>
  <c r="W63" i="7"/>
  <c r="U63" i="7"/>
  <c r="S63" i="7"/>
  <c r="Q63" i="7"/>
  <c r="O63" i="7"/>
  <c r="M63" i="7"/>
  <c r="K63" i="7"/>
  <c r="I63" i="7"/>
  <c r="Y62" i="7"/>
  <c r="W62" i="7"/>
  <c r="U62" i="7"/>
  <c r="S62" i="7"/>
  <c r="Q62" i="7"/>
  <c r="O62" i="7"/>
  <c r="M62" i="7"/>
  <c r="K62" i="7"/>
  <c r="I62" i="7"/>
  <c r="Y61" i="7"/>
  <c r="W61" i="7"/>
  <c r="U61" i="7"/>
  <c r="S61" i="7"/>
  <c r="Q61" i="7"/>
  <c r="O61" i="7"/>
  <c r="M61" i="7"/>
  <c r="K61" i="7"/>
  <c r="I61" i="7"/>
  <c r="Y60" i="7"/>
  <c r="W60" i="7"/>
  <c r="U60" i="7"/>
  <c r="S60" i="7"/>
  <c r="Q60" i="7"/>
  <c r="O60" i="7"/>
  <c r="M60" i="7"/>
  <c r="K60" i="7"/>
  <c r="I60" i="7"/>
  <c r="Y59" i="7"/>
  <c r="W59" i="7"/>
  <c r="U59" i="7"/>
  <c r="S59" i="7"/>
  <c r="Q59" i="7"/>
  <c r="O59" i="7"/>
  <c r="M59" i="7"/>
  <c r="K59" i="7"/>
  <c r="I59" i="7"/>
  <c r="Y58" i="7"/>
  <c r="W58" i="7"/>
  <c r="U58" i="7"/>
  <c r="S58" i="7"/>
  <c r="Q58" i="7"/>
  <c r="O58" i="7"/>
  <c r="M58" i="7"/>
  <c r="K58" i="7"/>
  <c r="I58" i="7"/>
  <c r="Y57" i="7"/>
  <c r="W57" i="7"/>
  <c r="U57" i="7"/>
  <c r="S57" i="7"/>
  <c r="Q57" i="7"/>
  <c r="O57" i="7"/>
  <c r="M57" i="7"/>
  <c r="K57" i="7"/>
  <c r="I57" i="7"/>
  <c r="Y56" i="7"/>
  <c r="W56" i="7"/>
  <c r="U56" i="7"/>
  <c r="S56" i="7"/>
  <c r="Q56" i="7"/>
  <c r="O56" i="7"/>
  <c r="M56" i="7"/>
  <c r="K56" i="7"/>
  <c r="I56" i="7"/>
  <c r="Y55" i="7"/>
  <c r="W55" i="7"/>
  <c r="U55" i="7"/>
  <c r="S55" i="7"/>
  <c r="Q55" i="7"/>
  <c r="O55" i="7"/>
  <c r="M55" i="7"/>
  <c r="K55" i="7"/>
  <c r="I55" i="7"/>
  <c r="Y54" i="7"/>
  <c r="W54" i="7"/>
  <c r="U54" i="7"/>
  <c r="S54" i="7"/>
  <c r="Q54" i="7"/>
  <c r="O54" i="7"/>
  <c r="M54" i="7"/>
  <c r="K54" i="7"/>
  <c r="I54" i="7"/>
  <c r="Y53" i="7"/>
  <c r="W53" i="7"/>
  <c r="U53" i="7"/>
  <c r="S53" i="7"/>
  <c r="Q53" i="7"/>
  <c r="O53" i="7"/>
  <c r="M53" i="7"/>
  <c r="K53" i="7"/>
  <c r="I53" i="7"/>
  <c r="Y52" i="7"/>
  <c r="W52" i="7"/>
  <c r="U52" i="7"/>
  <c r="S52" i="7"/>
  <c r="Q52" i="7"/>
  <c r="O52" i="7"/>
  <c r="M52" i="7"/>
  <c r="K52" i="7"/>
  <c r="I52" i="7"/>
  <c r="Y51" i="7"/>
  <c r="W51" i="7"/>
  <c r="U51" i="7"/>
  <c r="S51" i="7"/>
  <c r="Q51" i="7"/>
  <c r="O51" i="7"/>
  <c r="M51" i="7"/>
  <c r="K51" i="7"/>
  <c r="I51" i="7"/>
  <c r="Y50" i="7"/>
  <c r="W50" i="7"/>
  <c r="U50" i="7"/>
  <c r="S50" i="7"/>
  <c r="Q50" i="7"/>
  <c r="O50" i="7"/>
  <c r="M50" i="7"/>
  <c r="K50" i="7"/>
  <c r="I50" i="7"/>
  <c r="Y49" i="7"/>
  <c r="W49" i="7"/>
  <c r="U49" i="7"/>
  <c r="S49" i="7"/>
  <c r="Q49" i="7"/>
  <c r="O49" i="7"/>
  <c r="M49" i="7"/>
  <c r="K49" i="7"/>
  <c r="I49" i="7"/>
  <c r="Y48" i="7"/>
  <c r="W48" i="7"/>
  <c r="U48" i="7"/>
  <c r="S48" i="7"/>
  <c r="Q48" i="7"/>
  <c r="O48" i="7"/>
  <c r="M48" i="7"/>
  <c r="K48" i="7"/>
  <c r="I48" i="7"/>
  <c r="Y47" i="7"/>
  <c r="W47" i="7"/>
  <c r="U47" i="7"/>
  <c r="S47" i="7"/>
  <c r="Q47" i="7"/>
  <c r="O47" i="7"/>
  <c r="M47" i="7"/>
  <c r="K47" i="7"/>
  <c r="I47" i="7"/>
  <c r="Y46" i="7"/>
  <c r="W46" i="7"/>
  <c r="U46" i="7"/>
  <c r="S46" i="7"/>
  <c r="Q46" i="7"/>
  <c r="O46" i="7"/>
  <c r="M46" i="7"/>
  <c r="K46" i="7"/>
  <c r="I46" i="7"/>
  <c r="Y45" i="7"/>
  <c r="W45" i="7"/>
  <c r="U45" i="7"/>
  <c r="S45" i="7"/>
  <c r="Q45" i="7"/>
  <c r="O45" i="7"/>
  <c r="M45" i="7"/>
  <c r="K45" i="7"/>
  <c r="I45" i="7"/>
  <c r="Y44" i="7"/>
  <c r="W44" i="7"/>
  <c r="U44" i="7"/>
  <c r="S44" i="7"/>
  <c r="Q44" i="7"/>
  <c r="O44" i="7"/>
  <c r="M44" i="7"/>
  <c r="K44" i="7"/>
  <c r="I44" i="7"/>
  <c r="Y43" i="7"/>
  <c r="W43" i="7"/>
  <c r="U43" i="7"/>
  <c r="S43" i="7"/>
  <c r="Q43" i="7"/>
  <c r="O43" i="7"/>
  <c r="M43" i="7"/>
  <c r="K43" i="7"/>
  <c r="I43" i="7"/>
  <c r="Y42" i="7"/>
  <c r="W42" i="7"/>
  <c r="U42" i="7"/>
  <c r="S42" i="7"/>
  <c r="Q42" i="7"/>
  <c r="O42" i="7"/>
  <c r="M42" i="7"/>
  <c r="K42" i="7"/>
  <c r="I42" i="7"/>
  <c r="Y41" i="7"/>
  <c r="W41" i="7"/>
  <c r="U41" i="7"/>
  <c r="S41" i="7"/>
  <c r="Q41" i="7"/>
  <c r="O41" i="7"/>
  <c r="M41" i="7"/>
  <c r="K41" i="7"/>
  <c r="I41" i="7"/>
  <c r="Y40" i="7"/>
  <c r="W40" i="7"/>
  <c r="U40" i="7"/>
  <c r="S40" i="7"/>
  <c r="Q40" i="7"/>
  <c r="O40" i="7"/>
  <c r="M40" i="7"/>
  <c r="K40" i="7"/>
  <c r="I40" i="7"/>
  <c r="Y39" i="7"/>
  <c r="W39" i="7"/>
  <c r="U39" i="7"/>
  <c r="S39" i="7"/>
  <c r="Q39" i="7"/>
  <c r="O39" i="7"/>
  <c r="M39" i="7"/>
  <c r="K39" i="7"/>
  <c r="I39" i="7"/>
  <c r="Y38" i="7"/>
  <c r="W38" i="7"/>
  <c r="U38" i="7"/>
  <c r="S38" i="7"/>
  <c r="Q38" i="7"/>
  <c r="O38" i="7"/>
  <c r="M38" i="7"/>
  <c r="K38" i="7"/>
  <c r="I38" i="7"/>
  <c r="Y37" i="7"/>
  <c r="W37" i="7"/>
  <c r="U37" i="7"/>
  <c r="S37" i="7"/>
  <c r="Q37" i="7"/>
  <c r="O37" i="7"/>
  <c r="M37" i="7"/>
  <c r="K37" i="7"/>
  <c r="I37" i="7"/>
  <c r="Y36" i="7"/>
  <c r="W36" i="7"/>
  <c r="U36" i="7"/>
  <c r="S36" i="7"/>
  <c r="Q36" i="7"/>
  <c r="O36" i="7"/>
  <c r="M36" i="7"/>
  <c r="K36" i="7"/>
  <c r="I36" i="7"/>
  <c r="Y35" i="7"/>
  <c r="W35" i="7"/>
  <c r="U35" i="7"/>
  <c r="S35" i="7"/>
  <c r="Q35" i="7"/>
  <c r="O35" i="7"/>
  <c r="M35" i="7"/>
  <c r="K35" i="7"/>
  <c r="I35" i="7"/>
  <c r="Y34" i="7"/>
  <c r="W34" i="7"/>
  <c r="U34" i="7"/>
  <c r="S34" i="7"/>
  <c r="Q34" i="7"/>
  <c r="O34" i="7"/>
  <c r="M34" i="7"/>
  <c r="K34" i="7"/>
  <c r="I34" i="7"/>
  <c r="A34" i="7"/>
  <c r="Y33" i="7"/>
  <c r="W33" i="7"/>
  <c r="U33" i="7"/>
  <c r="S33" i="7"/>
  <c r="Q33" i="7"/>
  <c r="O33" i="7"/>
  <c r="M33" i="7"/>
  <c r="K33" i="7"/>
  <c r="I33" i="7"/>
  <c r="Y32" i="7"/>
  <c r="W32" i="7"/>
  <c r="U32" i="7"/>
  <c r="S32" i="7"/>
  <c r="Q32" i="7"/>
  <c r="O32" i="7"/>
  <c r="M32" i="7"/>
  <c r="K32" i="7"/>
  <c r="I32" i="7"/>
  <c r="Y31" i="7"/>
  <c r="W31" i="7"/>
  <c r="U31" i="7"/>
  <c r="S31" i="7"/>
  <c r="Q31" i="7"/>
  <c r="O31" i="7"/>
  <c r="M31" i="7"/>
  <c r="K31" i="7"/>
  <c r="I31" i="7"/>
  <c r="Y30" i="7"/>
  <c r="W30" i="7"/>
  <c r="U30" i="7"/>
  <c r="S30" i="7"/>
  <c r="Q30" i="7"/>
  <c r="O30" i="7"/>
  <c r="M30" i="7"/>
  <c r="K30" i="7"/>
  <c r="I30" i="7"/>
  <c r="Y29" i="7"/>
  <c r="W29" i="7"/>
  <c r="U29" i="7"/>
  <c r="S29" i="7"/>
  <c r="Q29" i="7"/>
  <c r="O29" i="7"/>
  <c r="M29" i="7"/>
  <c r="K29" i="7"/>
  <c r="I29" i="7"/>
  <c r="Y28" i="7"/>
  <c r="W28" i="7"/>
  <c r="U28" i="7"/>
  <c r="S28" i="7"/>
  <c r="Q28" i="7"/>
  <c r="O28" i="7"/>
  <c r="M28" i="7"/>
  <c r="K28" i="7"/>
  <c r="I28" i="7"/>
  <c r="Y27" i="7"/>
  <c r="W27" i="7"/>
  <c r="U27" i="7"/>
  <c r="S27" i="7"/>
  <c r="Q27" i="7"/>
  <c r="O27" i="7"/>
  <c r="M27" i="7"/>
  <c r="K27" i="7"/>
  <c r="I27" i="7"/>
  <c r="Y26" i="7"/>
  <c r="W26" i="7"/>
  <c r="U26" i="7"/>
  <c r="S26" i="7"/>
  <c r="Q26" i="7"/>
  <c r="O26" i="7"/>
  <c r="M26" i="7"/>
  <c r="K26" i="7"/>
  <c r="I26" i="7"/>
  <c r="Y25" i="7"/>
  <c r="W25" i="7"/>
  <c r="U25" i="7"/>
  <c r="S25" i="7"/>
  <c r="Q25" i="7"/>
  <c r="O25" i="7"/>
  <c r="M25" i="7"/>
  <c r="K25" i="7"/>
  <c r="I25" i="7"/>
  <c r="Y24" i="7"/>
  <c r="W24" i="7"/>
  <c r="U24" i="7"/>
  <c r="S24" i="7"/>
  <c r="Q24" i="7"/>
  <c r="O24" i="7"/>
  <c r="M24" i="7"/>
  <c r="K24" i="7"/>
  <c r="I24" i="7"/>
  <c r="Y23" i="7"/>
  <c r="W23" i="7"/>
  <c r="U23" i="7"/>
  <c r="S23" i="7"/>
  <c r="Q23" i="7"/>
  <c r="O23" i="7"/>
  <c r="M23" i="7"/>
  <c r="K23" i="7"/>
  <c r="I23" i="7"/>
  <c r="Y22" i="7"/>
  <c r="W22" i="7"/>
  <c r="U22" i="7"/>
  <c r="S22" i="7"/>
  <c r="Q22" i="7"/>
  <c r="O22" i="7"/>
  <c r="M22" i="7"/>
  <c r="K22" i="7"/>
  <c r="I22" i="7"/>
  <c r="Y21" i="7"/>
  <c r="W21" i="7"/>
  <c r="U21" i="7"/>
  <c r="S21" i="7"/>
  <c r="Q21" i="7"/>
  <c r="O21" i="7"/>
  <c r="M21" i="7"/>
  <c r="K21" i="7"/>
  <c r="I21" i="7"/>
  <c r="Y20" i="7"/>
  <c r="W20" i="7"/>
  <c r="U20" i="7"/>
  <c r="S20" i="7"/>
  <c r="Q20" i="7"/>
  <c r="O20" i="7"/>
  <c r="M20" i="7"/>
  <c r="K20" i="7"/>
  <c r="I20" i="7"/>
  <c r="Y19" i="7"/>
  <c r="W19" i="7"/>
  <c r="U19" i="7"/>
  <c r="S19" i="7"/>
  <c r="Q19" i="7"/>
  <c r="O19" i="7"/>
  <c r="M19" i="7"/>
  <c r="K19" i="7"/>
  <c r="I19" i="7"/>
  <c r="Y18" i="7"/>
  <c r="W18" i="7"/>
  <c r="U18" i="7"/>
  <c r="S18" i="7"/>
  <c r="Q18" i="7"/>
  <c r="O18" i="7"/>
  <c r="M18" i="7"/>
  <c r="K18" i="7"/>
  <c r="I18" i="7"/>
  <c r="Y17" i="7"/>
  <c r="W17" i="7"/>
  <c r="U17" i="7"/>
  <c r="S17" i="7"/>
  <c r="Q17" i="7"/>
  <c r="O17" i="7"/>
  <c r="M17" i="7"/>
  <c r="K17" i="7"/>
  <c r="I17" i="7"/>
  <c r="Y16" i="7"/>
  <c r="W16" i="7"/>
  <c r="U16" i="7"/>
  <c r="S16" i="7"/>
  <c r="Q16" i="7"/>
  <c r="O16" i="7"/>
  <c r="M16" i="7"/>
  <c r="K16" i="7"/>
  <c r="I16" i="7"/>
  <c r="Y15" i="7"/>
  <c r="W15" i="7"/>
  <c r="U15" i="7"/>
  <c r="S15" i="7"/>
  <c r="Q15" i="7"/>
  <c r="O15" i="7"/>
  <c r="M15" i="7"/>
  <c r="K15" i="7"/>
  <c r="I15" i="7"/>
  <c r="Y14" i="7"/>
  <c r="W14" i="7"/>
  <c r="U14" i="7"/>
  <c r="S14" i="7"/>
  <c r="Q14" i="7"/>
  <c r="O14" i="7"/>
  <c r="M14" i="7"/>
  <c r="K14" i="7"/>
  <c r="I14" i="7"/>
  <c r="Y13" i="7"/>
  <c r="W13" i="7"/>
  <c r="U13" i="7"/>
  <c r="S13" i="7"/>
  <c r="Q13" i="7"/>
  <c r="O13" i="7"/>
  <c r="M13" i="7"/>
  <c r="K13" i="7"/>
  <c r="I13" i="7"/>
  <c r="Y12" i="7"/>
  <c r="W12" i="7"/>
  <c r="U12" i="7"/>
  <c r="S12" i="7"/>
  <c r="Q12" i="7"/>
  <c r="O12" i="7"/>
  <c r="M12" i="7"/>
  <c r="K12" i="7"/>
  <c r="I12" i="7"/>
  <c r="Y11" i="7"/>
  <c r="W11" i="7"/>
  <c r="U11" i="7"/>
  <c r="S11" i="7"/>
  <c r="Q11" i="7"/>
  <c r="O11" i="7"/>
  <c r="M11" i="7"/>
  <c r="K11" i="7"/>
  <c r="I11" i="7"/>
  <c r="Y10" i="7"/>
  <c r="W10" i="7"/>
  <c r="U10" i="7"/>
  <c r="S10" i="7"/>
  <c r="Q10" i="7"/>
  <c r="O10" i="7"/>
  <c r="M10" i="7"/>
  <c r="K10" i="7"/>
  <c r="I10" i="7"/>
  <c r="Y9" i="7"/>
  <c r="W9" i="7"/>
  <c r="U9" i="7"/>
  <c r="S9" i="7"/>
  <c r="Q9" i="7"/>
  <c r="O9" i="7"/>
  <c r="M9" i="7"/>
  <c r="K9" i="7"/>
  <c r="I9" i="7"/>
  <c r="Y8" i="7"/>
  <c r="W8" i="7"/>
  <c r="U8" i="7"/>
  <c r="S8" i="7"/>
  <c r="Q8" i="7"/>
  <c r="O8" i="7"/>
  <c r="M8" i="7"/>
  <c r="K8" i="7"/>
  <c r="I8" i="7"/>
  <c r="Y7" i="7"/>
  <c r="W7" i="7"/>
  <c r="U7" i="7"/>
  <c r="S7" i="7"/>
  <c r="Q7" i="7"/>
  <c r="O7" i="7"/>
  <c r="M7" i="7"/>
  <c r="K7" i="7"/>
  <c r="I7" i="7"/>
  <c r="Y6" i="7"/>
  <c r="W6" i="7"/>
  <c r="U6" i="7"/>
  <c r="S6" i="7"/>
  <c r="Q6" i="7"/>
  <c r="O6" i="7"/>
  <c r="M6" i="7"/>
  <c r="K6" i="7"/>
  <c r="I6" i="7"/>
  <c r="Y5" i="7"/>
  <c r="X5" i="7"/>
  <c r="X5" i="7" a="1"/>
  <c r="W5" i="7"/>
  <c r="V5" i="7"/>
  <c r="V5" i="7" a="1"/>
  <c r="U5" i="7"/>
  <c r="T5" i="7"/>
  <c r="T5" i="7" a="1"/>
  <c r="S5" i="7"/>
  <c r="R5" i="7"/>
  <c r="R5" i="7" a="1"/>
  <c r="Q5" i="7"/>
  <c r="P5" i="7"/>
  <c r="P5" i="7" a="1"/>
  <c r="O5" i="7"/>
  <c r="N5" i="7"/>
  <c r="N5" i="7" a="1"/>
  <c r="M5" i="7"/>
  <c r="L5" i="7"/>
  <c r="L5" i="7" a="1"/>
  <c r="K5" i="7"/>
  <c r="J5" i="7"/>
  <c r="J5" i="7" a="1"/>
  <c r="I5" i="7"/>
  <c r="H5" i="7"/>
  <c r="H5" i="7" a="1"/>
  <c r="G5" i="7"/>
  <c r="G5" i="7" a="1"/>
  <c r="X3" i="7"/>
  <c r="V3" i="7"/>
  <c r="T3" i="7"/>
  <c r="R3" i="7"/>
  <c r="P3" i="7"/>
  <c r="N3" i="7"/>
  <c r="L3" i="7"/>
  <c r="J3" i="7"/>
  <c r="X2" i="7"/>
  <c r="V2" i="7"/>
  <c r="T2" i="7"/>
  <c r="R2" i="7"/>
  <c r="P2" i="7"/>
  <c r="N2" i="7"/>
  <c r="L2" i="7"/>
  <c r="J2" i="7"/>
  <c r="A27" i="1"/>
  <c r="A24" i="1"/>
  <c r="A21" i="1"/>
  <c r="A18" i="1"/>
  <c r="A15" i="1"/>
  <c r="A12" i="1"/>
  <c r="A9" i="1"/>
  <c r="A6" i="1"/>
  <c r="E5" i="7" l="1" a="1"/>
  <c r="E5" i="7" s="1"/>
  <c r="A37" i="7" a="1"/>
  <c r="A37" i="7" s="1"/>
  <c r="D5" i="7" a="1"/>
  <c r="D5" i="7" s="1"/>
  <c r="B37" i="7" a="1"/>
  <c r="O10" i="10"/>
  <c r="O19" i="10" s="1"/>
  <c r="O9" i="10"/>
  <c r="O18" i="10" s="1"/>
  <c r="O8" i="10"/>
  <c r="O17" i="10" s="1"/>
  <c r="O7" i="10"/>
  <c r="O16" i="10" s="1"/>
  <c r="O6" i="10"/>
  <c r="O15" i="10" s="1"/>
  <c r="O5" i="10"/>
  <c r="O14" i="10" s="1"/>
  <c r="O4" i="10"/>
  <c r="O13" i="10" s="1"/>
  <c r="O3" i="10"/>
  <c r="O12" i="10" s="1"/>
  <c r="K3" i="10" s="1" a="1"/>
  <c r="O21" i="9"/>
  <c r="Q24" i="9"/>
  <c r="P3" i="10"/>
  <c r="P12" i="10" s="1"/>
  <c r="P5" i="10"/>
  <c r="P14" i="10" s="1"/>
  <c r="P6" i="10"/>
  <c r="P15" i="10" s="1"/>
  <c r="P7" i="10"/>
  <c r="P16" i="10" s="1"/>
  <c r="P8" i="10"/>
  <c r="P17" i="10" s="1"/>
  <c r="P9" i="10"/>
  <c r="P18" i="10" s="1"/>
  <c r="P10" i="10"/>
  <c r="P19" i="10" s="1"/>
  <c r="L21" i="10"/>
  <c r="L7" i="10" s="1"/>
  <c r="L16" i="10" s="1"/>
  <c r="P21" i="10"/>
  <c r="P4" i="10" s="1"/>
  <c r="P13" i="10" s="1"/>
  <c r="Q3" i="10"/>
  <c r="Q12" i="10" s="1"/>
  <c r="Q4" i="10"/>
  <c r="Q13" i="10" s="1"/>
  <c r="Q5" i="10"/>
  <c r="Q14" i="10" s="1"/>
  <c r="Q6" i="10"/>
  <c r="Q15" i="10" s="1"/>
  <c r="Q7" i="10"/>
  <c r="Q16" i="10" s="1"/>
  <c r="Q8" i="10"/>
  <c r="Q17" i="10" s="1"/>
  <c r="Q10" i="10"/>
  <c r="Q19" i="10" s="1"/>
  <c r="N21" i="9"/>
  <c r="M20" i="9"/>
  <c r="Q21" i="9"/>
  <c r="R3" i="10"/>
  <c r="R12" i="10" s="1"/>
  <c r="R10" i="10"/>
  <c r="R19" i="10" s="1"/>
  <c r="M21" i="10"/>
  <c r="P18" i="9" s="1"/>
  <c r="Q21" i="10"/>
  <c r="Q22" i="9" s="1"/>
  <c r="N20" i="9"/>
  <c r="O22" i="9"/>
  <c r="S3" i="10"/>
  <c r="S12" i="10" s="1"/>
  <c r="S4" i="10"/>
  <c r="S13" i="10" s="1"/>
  <c r="S5" i="10"/>
  <c r="S14" i="10" s="1"/>
  <c r="S6" i="10"/>
  <c r="S15" i="10" s="1"/>
  <c r="S7" i="10"/>
  <c r="S16" i="10" s="1"/>
  <c r="S8" i="10"/>
  <c r="S17" i="10" s="1"/>
  <c r="S9" i="10"/>
  <c r="S18" i="10" s="1"/>
  <c r="S10" i="10"/>
  <c r="S19" i="10" s="1"/>
  <c r="L19" i="9"/>
  <c r="O20" i="9"/>
  <c r="L9" i="10"/>
  <c r="L18" i="10" s="1"/>
  <c r="B20" i="10"/>
  <c r="N21" i="10"/>
  <c r="R21" i="10"/>
  <c r="Q23" i="9" s="1"/>
  <c r="N19" i="9"/>
  <c r="Q20" i="9"/>
  <c r="N3" i="10"/>
  <c r="N12" i="10" s="1"/>
  <c r="N4" i="10"/>
  <c r="N13" i="10" s="1"/>
  <c r="N7" i="10"/>
  <c r="N16" i="10" s="1"/>
  <c r="N8" i="10"/>
  <c r="N17" i="10" s="1"/>
  <c r="N9" i="10"/>
  <c r="N18" i="10" s="1"/>
  <c r="A1" i="10"/>
  <c r="C20" i="10"/>
  <c r="B20" i="7" l="1" a="1"/>
  <c r="B37" i="7"/>
  <c r="B15" i="7" s="1"/>
  <c r="M19" i="9"/>
  <c r="Q19" i="9"/>
  <c r="O19" i="9"/>
  <c r="M17" i="9"/>
  <c r="L8" i="10"/>
  <c r="L17" i="10" s="1"/>
  <c r="L4" i="10"/>
  <c r="L13" i="10" s="1"/>
  <c r="P17" i="9"/>
  <c r="R5" i="10"/>
  <c r="R14" i="10" s="1"/>
  <c r="P21" i="9"/>
  <c r="P22" i="9"/>
  <c r="Q18" i="9"/>
  <c r="R6" i="10"/>
  <c r="R15" i="10" s="1"/>
  <c r="N6" i="10"/>
  <c r="N15" i="10" s="1"/>
  <c r="L3" i="10"/>
  <c r="L12" i="10" s="1"/>
  <c r="N5" i="10"/>
  <c r="N14" i="10" s="1"/>
  <c r="L10" i="10"/>
  <c r="L19" i="10" s="1"/>
  <c r="R4" i="10"/>
  <c r="R13" i="10" s="1"/>
  <c r="Q9" i="10"/>
  <c r="Q18" i="10" s="1"/>
  <c r="N17" i="9"/>
  <c r="P20" i="9"/>
  <c r="L18" i="9"/>
  <c r="J3" i="10" a="1"/>
  <c r="R9" i="10"/>
  <c r="R18" i="10" s="1"/>
  <c r="N10" i="10"/>
  <c r="N19" i="10" s="1"/>
  <c r="J17" i="9"/>
  <c r="L17" i="9"/>
  <c r="Q17" i="9"/>
  <c r="L6" i="10"/>
  <c r="L15" i="10" s="1"/>
  <c r="R8" i="10"/>
  <c r="R17" i="10" s="1"/>
  <c r="P19" i="9"/>
  <c r="K17" i="9"/>
  <c r="M10" i="10"/>
  <c r="M19" i="10" s="1"/>
  <c r="M9" i="10"/>
  <c r="M18" i="10" s="1"/>
  <c r="M8" i="10"/>
  <c r="M17" i="10" s="1"/>
  <c r="M7" i="10"/>
  <c r="M16" i="10" s="1"/>
  <c r="M6" i="10"/>
  <c r="M15" i="10" s="1"/>
  <c r="M5" i="10"/>
  <c r="M14" i="10" s="1"/>
  <c r="M4" i="10"/>
  <c r="M13" i="10" s="1"/>
  <c r="M3" i="10"/>
  <c r="M12" i="10" s="1"/>
  <c r="K18" i="9"/>
  <c r="O18" i="9"/>
  <c r="M18" i="9"/>
  <c r="L5" i="10"/>
  <c r="L14" i="10" s="1"/>
  <c r="R7" i="10"/>
  <c r="R16" i="10" s="1"/>
  <c r="O17" i="9"/>
  <c r="N18" i="9"/>
  <c r="P23" i="9"/>
  <c r="G21" i="10" a="1"/>
  <c r="G21" i="10" s="1"/>
  <c r="E7" i="9" a="1"/>
  <c r="E7" i="9" s="1"/>
  <c r="K3" i="10"/>
  <c r="A15" i="7" l="1" a="1"/>
  <c r="A15" i="7" s="1"/>
  <c r="K6" i="1"/>
  <c r="B20" i="7"/>
  <c r="A20" i="7" a="1"/>
  <c r="A20" i="7" s="1"/>
  <c r="C7" i="9" a="1"/>
  <c r="C7" i="9" s="1"/>
  <c r="E21" i="10" a="1"/>
  <c r="E21" i="10" s="1"/>
  <c r="J3" i="10"/>
  <c r="A21" i="10" a="1"/>
  <c r="O27" i="1" l="1" a="1"/>
  <c r="O27" i="1" s="1"/>
  <c r="O18" i="1" a="1"/>
  <c r="O18" i="1" s="1"/>
  <c r="O9" i="1" a="1"/>
  <c r="O9" i="1" s="1"/>
  <c r="G6" i="1"/>
  <c r="O3" i="1" s="1"/>
  <c r="O24" i="1" a="1"/>
  <c r="O24" i="1" s="1"/>
  <c r="O15" i="1" a="1"/>
  <c r="O15" i="1" s="1"/>
  <c r="O6" i="1" a="1"/>
  <c r="O6" i="1" s="1"/>
  <c r="O21" i="1" a="1"/>
  <c r="O21" i="1" s="1"/>
  <c r="O12" i="1" a="1"/>
  <c r="O12" i="1" s="1"/>
  <c r="A21" i="10"/>
  <c r="B5" i="10"/>
  <c r="B17" i="10"/>
  <c r="A18" i="9" s="1" a="1"/>
  <c r="A18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7EAA79-81BB-477D-8829-9DAD6E7F0AB4}" keepAlive="1" name="Abfrage - big-mac-index" description="Verbindung mit der Abfrage 'big-mac-index' in der Arbeitsmappe." type="5" refreshedVersion="0" background="1">
    <dbPr connection="Provider=Microsoft.Mashup.OleDb.1;Data Source=$Workbook$;Location=big-mac-index;Extended Properties=&quot;&quot;" command="SELECT * FROM [big-mac-index]"/>
  </connection>
  <connection id="2" xr16:uid="{62EF3281-AA49-43E7-B0DE-52A0825B8D8D}" keepAlive="1" name="Abfrage - continent (main table)" description="Verbindung mit der Abfrage 'continent (main table)' in der Arbeitsmappe." type="5" refreshedVersion="8" background="1" saveData="1">
    <dbPr connection="Provider=Microsoft.Mashup.OleDb.1;Data Source=$Workbook$;Location=&quot;continent (main table)&quot;;Extended Properties=&quot;&quot;" command="SELECT * FROM [continent (main table)]"/>
  </connection>
  <connection id="3" xr16:uid="{2D3BA076-8302-4D77-9B96-EB63B4399177}" keepAlive="1" name="Abfrage - continent (main table) (2)" description="Verbindung mit der Abfrage 'continent (main table) (2)' in der Arbeitsmappe." type="5" refreshedVersion="8" background="1" saveData="1">
    <dbPr connection="Provider=Microsoft.Mashup.OleDb.1;Data Source=$Workbook$;Location=&quot;continent (main table) (2)&quot;;Extended Properties=&quot;&quot;" command="SELECT * FROM [continent (main table) (2)]"/>
  </connection>
  <connection id="4" xr16:uid="{7B19E89A-7F42-4A36-A6BA-40126549BCDC}" keepAlive="1" name="Abfrage - cost-of-living" description="Verbindung mit der Abfrage 'cost-of-living' in der Arbeitsmappe." type="5" refreshedVersion="0" background="1">
    <dbPr connection="Provider=Microsoft.Mashup.OleDb.1;Data Source=$Workbook$;Location=cost-of-living;Extended Properties=&quot;&quot;" command="SELECT * FROM [cost-of-living]"/>
  </connection>
  <connection id="5" xr16:uid="{A65A7498-B11E-4B35-BE4B-AB4D75C37D40}" keepAlive="1" name="Abfrage - gdp" description="Verbindung mit der Abfrage 'gdp' in der Arbeitsmappe." type="5" refreshedVersion="0" background="1">
    <dbPr connection="Provider=Microsoft.Mashup.OleDb.1;Data Source=$Workbook$;Location=gdp;Extended Properties=&quot;&quot;" command="SELECT * FROM [gdp]"/>
  </connection>
  <connection id="6" xr16:uid="{A44341C8-1EC6-4BB4-8D6C-30FFD27BECAF}" keepAlive="1" name="Abfrage - gini-coefficient" description="Verbindung mit der Abfrage 'gini-coefficient' in der Arbeitsmappe." type="5" refreshedVersion="0" background="1">
    <dbPr connection="Provider=Microsoft.Mashup.OleDb.1;Data Source=$Workbook$;Location=gini-coefficient;Extended Properties=&quot;&quot;" command="SELECT * FROM [gini-coefficient]"/>
  </connection>
  <connection id="7" xr16:uid="{B05C6B5B-80FD-4005-B1CB-A947AA6B4329}" keepAlive="1" name="Abfrage - hdi" description="Verbindung mit der Abfrage 'hdi' in der Arbeitsmappe." type="5" refreshedVersion="0" background="1">
    <dbPr connection="Provider=Microsoft.Mashup.OleDb.1;Data Source=$Workbook$;Location=hdi;Extended Properties=&quot;&quot;" command="SELECT * FROM [hdi]"/>
  </connection>
  <connection id="8" xr16:uid="{BC4EE67D-2CF9-4E9A-A311-D2C88EDE23A5}" keepAlive="1" name="Abfrage - property-prices" description="Verbindung mit der Abfrage 'property-prices' in der Arbeitsmappe." type="5" refreshedVersion="0" background="1">
    <dbPr connection="Provider=Microsoft.Mashup.OleDb.1;Data Source=$Workbook$;Location=property-prices;Extended Properties=&quot;&quot;" command="SELECT * FROM [property-prices]"/>
  </connection>
  <connection id="9" xr16:uid="{26B663D8-A9B5-43D3-BE07-008464C325F4}" keepAlive="1" name="Abfrage - quality-of-life" description="Verbindung mit der Abfrage 'quality-of-life' in der Arbeitsmappe." type="5" refreshedVersion="0" background="1">
    <dbPr connection="Provider=Microsoft.Mashup.OleDb.1;Data Source=$Workbook$;Location=quality-of-life;Extended Properties=&quot;&quot;" command="SELECT * FROM [quality-of-life]"/>
  </connection>
  <connection id="10" xr16:uid="{F75C0F7C-2607-488C-BA2F-8CD930B37666}" keepAlive="1" name="Abfrage - world-happiness-report" description="Verbindung mit der Abfrage 'world-happiness-report' in der Arbeitsmappe." type="5" refreshedVersion="0" background="1">
    <dbPr connection="Provider=Microsoft.Mashup.OleDb.1;Data Source=$Workbook$;Location=world-happiness-report;Extended Properties=&quot;&quot;" command="SELECT * FROM [world-happiness-repor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<sst xmlns="http://schemas.openxmlformats.org/spreadsheetml/2006/main" count="1058" uniqueCount="786">
  <si>
    <t>Alpha-2-Code</t>
  </si>
  <si>
    <t>Alpha-3-Code</t>
  </si>
  <si>
    <t>Country</t>
  </si>
  <si>
    <t>Continent</t>
  </si>
  <si>
    <t>UN-Member?</t>
  </si>
  <si>
    <t>Currency</t>
  </si>
  <si>
    <t>Population</t>
  </si>
  <si>
    <t>Big Mac Index (% under-/overvalued; raw index)</t>
  </si>
  <si>
    <t>Big Mac Index (% under-/overvalued; GDP-adjusted)</t>
  </si>
  <si>
    <t>GDP per capita (USD)</t>
  </si>
  <si>
    <t>Year of Gini-survey</t>
  </si>
  <si>
    <t>Gini-Coefficient (2021 prices; income or consumption consolid)</t>
  </si>
  <si>
    <t>HDI (2023)</t>
  </si>
  <si>
    <t>Years of life expectancy at birth (2023)</t>
  </si>
  <si>
    <t>Expected years of schooling (2023)</t>
  </si>
  <si>
    <t>Mean years of schooling (2023)</t>
  </si>
  <si>
    <t>GNI per capita (USD)</t>
  </si>
  <si>
    <t>Cost of Living Index</t>
  </si>
  <si>
    <t>Rent Index</t>
  </si>
  <si>
    <t>Cost of Living Plus Rent Index</t>
  </si>
  <si>
    <t>Groceries Index</t>
  </si>
  <si>
    <t>Restaurant Price Index</t>
  </si>
  <si>
    <t>Local Purchasing Power Index</t>
  </si>
  <si>
    <t>Price To Income Ratio</t>
  </si>
  <si>
    <t>Gross Rental Yield City Centre</t>
  </si>
  <si>
    <t>Gross Rental Yield Outside of Centre</t>
  </si>
  <si>
    <t>Price To Rent Ratio City Centre</t>
  </si>
  <si>
    <t>Price To Rent Ratio Outside Of City Centre</t>
  </si>
  <si>
    <t>Mortgage As A Percentage Of Income</t>
  </si>
  <si>
    <t>Affordability Index</t>
  </si>
  <si>
    <t>Quality of Life Index</t>
  </si>
  <si>
    <t>Purchasing Power Index</t>
  </si>
  <si>
    <t>Safety Index</t>
  </si>
  <si>
    <t>Health Care Index</t>
  </si>
  <si>
    <t>Property Price to Income Ratio</t>
  </si>
  <si>
    <t>Traffic Commute Time Index</t>
  </si>
  <si>
    <t>Pollution Index</t>
  </si>
  <si>
    <t>Climate Index</t>
  </si>
  <si>
    <t>Word Happieness Report (life evaluation; 3-year-average)</t>
  </si>
  <si>
    <t>AF</t>
  </si>
  <si>
    <t>Afghanistan</t>
  </si>
  <si>
    <t>Asia</t>
  </si>
  <si>
    <t>AL</t>
  </si>
  <si>
    <t>ALB</t>
  </si>
  <si>
    <t>Albania</t>
  </si>
  <si>
    <t>Europe</t>
  </si>
  <si>
    <t>DZ</t>
  </si>
  <si>
    <t>DZA</t>
  </si>
  <si>
    <t>Algeria</t>
  </si>
  <si>
    <t>Africa</t>
  </si>
  <si>
    <t>AS</t>
  </si>
  <si>
    <t>American Samoa</t>
  </si>
  <si>
    <t>Oceania</t>
  </si>
  <si>
    <t>AD</t>
  </si>
  <si>
    <t>Andorra</t>
  </si>
  <si>
    <t>AO</t>
  </si>
  <si>
    <t>AGO</t>
  </si>
  <si>
    <t>Angola</t>
  </si>
  <si>
    <t>AI</t>
  </si>
  <si>
    <t>Anguilla</t>
  </si>
  <si>
    <t>North America</t>
  </si>
  <si>
    <t>AG</t>
  </si>
  <si>
    <t>Antigua and Barbuda</t>
  </si>
  <si>
    <t>AR</t>
  </si>
  <si>
    <t>ARG</t>
  </si>
  <si>
    <t>Argentina</t>
  </si>
  <si>
    <t>South America</t>
  </si>
  <si>
    <t>Peso</t>
  </si>
  <si>
    <t>AM</t>
  </si>
  <si>
    <t>ARM</t>
  </si>
  <si>
    <t>Armenia</t>
  </si>
  <si>
    <t>AW</t>
  </si>
  <si>
    <t>Aruba</t>
  </si>
  <si>
    <t>AU</t>
  </si>
  <si>
    <t>AUS</t>
  </si>
  <si>
    <t>Australia</t>
  </si>
  <si>
    <t>A$</t>
  </si>
  <si>
    <t>AT</t>
  </si>
  <si>
    <t>AUT</t>
  </si>
  <si>
    <t>Austria</t>
  </si>
  <si>
    <t>AZ</t>
  </si>
  <si>
    <t>Azerbaijan</t>
  </si>
  <si>
    <t>Manat</t>
  </si>
  <si>
    <t>BS</t>
  </si>
  <si>
    <t>Bahamas</t>
  </si>
  <si>
    <t>BH</t>
  </si>
  <si>
    <t>Bahrain</t>
  </si>
  <si>
    <t>Dinar</t>
  </si>
  <si>
    <t>BD</t>
  </si>
  <si>
    <t>BGD</t>
  </si>
  <si>
    <t>Bangladesh</t>
  </si>
  <si>
    <t>BB</t>
  </si>
  <si>
    <t>BRB</t>
  </si>
  <si>
    <t>Barbados</t>
  </si>
  <si>
    <t>BY</t>
  </si>
  <si>
    <t>BLR</t>
  </si>
  <si>
    <t>Belarus</t>
  </si>
  <si>
    <t>BE</t>
  </si>
  <si>
    <t>BEL</t>
  </si>
  <si>
    <t>Belgium</t>
  </si>
  <si>
    <t>BZ</t>
  </si>
  <si>
    <t>BLZ</t>
  </si>
  <si>
    <t>Belize</t>
  </si>
  <si>
    <t>BJ</t>
  </si>
  <si>
    <t>BEN</t>
  </si>
  <si>
    <t>Benin</t>
  </si>
  <si>
    <t>BM</t>
  </si>
  <si>
    <t>Bermuda</t>
  </si>
  <si>
    <t>BT</t>
  </si>
  <si>
    <t>BTN</t>
  </si>
  <si>
    <t>Bhutan</t>
  </si>
  <si>
    <t>BO</t>
  </si>
  <si>
    <t>BOL</t>
  </si>
  <si>
    <t>Bolivia</t>
  </si>
  <si>
    <t>BA</t>
  </si>
  <si>
    <t>BIH</t>
  </si>
  <si>
    <t>Bosnia and Herzegovina</t>
  </si>
  <si>
    <t>BW</t>
  </si>
  <si>
    <t>BWA</t>
  </si>
  <si>
    <t>Botswana</t>
  </si>
  <si>
    <t>BR</t>
  </si>
  <si>
    <t>BRA</t>
  </si>
  <si>
    <t>Brazil</t>
  </si>
  <si>
    <t>Real</t>
  </si>
  <si>
    <t>VG</t>
  </si>
  <si>
    <t>British Virgin Islands</t>
  </si>
  <si>
    <t>BN</t>
  </si>
  <si>
    <t>Brunei</t>
  </si>
  <si>
    <t>BG</t>
  </si>
  <si>
    <t>BGR</t>
  </si>
  <si>
    <t>Bulgaria</t>
  </si>
  <si>
    <t>BF</t>
  </si>
  <si>
    <t>BFA</t>
  </si>
  <si>
    <t>Burkina Faso</t>
  </si>
  <si>
    <t>BI</t>
  </si>
  <si>
    <t>BDI</t>
  </si>
  <si>
    <t>Burundi</t>
  </si>
  <si>
    <t>KH</t>
  </si>
  <si>
    <t>Cambodia</t>
  </si>
  <si>
    <t>CM</t>
  </si>
  <si>
    <t>CMR</t>
  </si>
  <si>
    <t>Cameroon</t>
  </si>
  <si>
    <t>CA</t>
  </si>
  <si>
    <t>CAN</t>
  </si>
  <si>
    <t>Canada</t>
  </si>
  <si>
    <t>C$</t>
  </si>
  <si>
    <t>CV</t>
  </si>
  <si>
    <t>CPV</t>
  </si>
  <si>
    <t>Cape Verde</t>
  </si>
  <si>
    <t>KY</t>
  </si>
  <si>
    <t>Cayman Islands</t>
  </si>
  <si>
    <t>CF</t>
  </si>
  <si>
    <t>CAF</t>
  </si>
  <si>
    <t>Central African Republic</t>
  </si>
  <si>
    <t>TD</t>
  </si>
  <si>
    <t>TCD</t>
  </si>
  <si>
    <t>Chad</t>
  </si>
  <si>
    <t>CL</t>
  </si>
  <si>
    <t>CHL</t>
  </si>
  <si>
    <t>Chile</t>
  </si>
  <si>
    <t>CN</t>
  </si>
  <si>
    <t>CHN</t>
  </si>
  <si>
    <t>China</t>
  </si>
  <si>
    <t>Yuan</t>
  </si>
  <si>
    <t>CO</t>
  </si>
  <si>
    <t>COL</t>
  </si>
  <si>
    <t>Colombia</t>
  </si>
  <si>
    <t>KM</t>
  </si>
  <si>
    <t>COM</t>
  </si>
  <si>
    <t>Comoros</t>
  </si>
  <si>
    <t>CK</t>
  </si>
  <si>
    <t>Cook Islands</t>
  </si>
  <si>
    <t>CR</t>
  </si>
  <si>
    <t>CRI</t>
  </si>
  <si>
    <t>Costa Rica</t>
  </si>
  <si>
    <t>Colón</t>
  </si>
  <si>
    <t>HR</t>
  </si>
  <si>
    <t>HRV</t>
  </si>
  <si>
    <t>Croatia</t>
  </si>
  <si>
    <t>CU</t>
  </si>
  <si>
    <t>Cuba</t>
  </si>
  <si>
    <t>CW</t>
  </si>
  <si>
    <t>Curacao</t>
  </si>
  <si>
    <t>CY</t>
  </si>
  <si>
    <t>CYP</t>
  </si>
  <si>
    <t>Cyprus</t>
  </si>
  <si>
    <t>CZ</t>
  </si>
  <si>
    <t>CZE</t>
  </si>
  <si>
    <t>Czech Republic</t>
  </si>
  <si>
    <t>Koruna</t>
  </si>
  <si>
    <t>CD</t>
  </si>
  <si>
    <t>COD</t>
  </si>
  <si>
    <t>DR Congo</t>
  </si>
  <si>
    <t>DK</t>
  </si>
  <si>
    <t>DNK</t>
  </si>
  <si>
    <t>Denmark</t>
  </si>
  <si>
    <t>Krone</t>
  </si>
  <si>
    <t>DJ</t>
  </si>
  <si>
    <t>DJI</t>
  </si>
  <si>
    <t>Djibouti</t>
  </si>
  <si>
    <t>DM</t>
  </si>
  <si>
    <t>Dominica</t>
  </si>
  <si>
    <t>DO</t>
  </si>
  <si>
    <t>DOM</t>
  </si>
  <si>
    <t>Dominican Republic</t>
  </si>
  <si>
    <t>EC</t>
  </si>
  <si>
    <t>ECU</t>
  </si>
  <si>
    <t>Ecuador</t>
  </si>
  <si>
    <t>EG</t>
  </si>
  <si>
    <t>EGY</t>
  </si>
  <si>
    <t>Egypt</t>
  </si>
  <si>
    <t>Pound</t>
  </si>
  <si>
    <t>SV</t>
  </si>
  <si>
    <t>SLV</t>
  </si>
  <si>
    <t>El Salvador</t>
  </si>
  <si>
    <t>GQ</t>
  </si>
  <si>
    <t>GNQ</t>
  </si>
  <si>
    <t>Equatorial Guinea</t>
  </si>
  <si>
    <t>ER</t>
  </si>
  <si>
    <t>Eritrea</t>
  </si>
  <si>
    <t>EE</t>
  </si>
  <si>
    <t>EST</t>
  </si>
  <si>
    <t>Estonia</t>
  </si>
  <si>
    <t>SZ</t>
  </si>
  <si>
    <t>SWZ</t>
  </si>
  <si>
    <t>Eswatini</t>
  </si>
  <si>
    <t>ET</t>
  </si>
  <si>
    <t>ETH</t>
  </si>
  <si>
    <t>Ethiopia</t>
  </si>
  <si>
    <t>FK</t>
  </si>
  <si>
    <t>Falkland Islands</t>
  </si>
  <si>
    <t>FO</t>
  </si>
  <si>
    <t>Faroe Islands</t>
  </si>
  <si>
    <t>FJ</t>
  </si>
  <si>
    <t>FJI</t>
  </si>
  <si>
    <t>Fiji</t>
  </si>
  <si>
    <t>FI</t>
  </si>
  <si>
    <t>FIN</t>
  </si>
  <si>
    <t>Finland</t>
  </si>
  <si>
    <t>FR</t>
  </si>
  <si>
    <t>FRA</t>
  </si>
  <si>
    <t>France</t>
  </si>
  <si>
    <t>GF</t>
  </si>
  <si>
    <t>French Guiana</t>
  </si>
  <si>
    <t>PF</t>
  </si>
  <si>
    <t>French Polynesia</t>
  </si>
  <si>
    <t>GA</t>
  </si>
  <si>
    <t>GAB</t>
  </si>
  <si>
    <t>Gabon</t>
  </si>
  <si>
    <t>GM</t>
  </si>
  <si>
    <t>GMB</t>
  </si>
  <si>
    <t>Gambia</t>
  </si>
  <si>
    <t>GE</t>
  </si>
  <si>
    <t>GEO</t>
  </si>
  <si>
    <t>Georgia</t>
  </si>
  <si>
    <t>DE</t>
  </si>
  <si>
    <t>DEU</t>
  </si>
  <si>
    <t>Germany</t>
  </si>
  <si>
    <t>GH</t>
  </si>
  <si>
    <t>GHA</t>
  </si>
  <si>
    <t>Ghana</t>
  </si>
  <si>
    <t>GI</t>
  </si>
  <si>
    <t>Gibraltar</t>
  </si>
  <si>
    <t>GR</t>
  </si>
  <si>
    <t>GRC</t>
  </si>
  <si>
    <t>Greece</t>
  </si>
  <si>
    <t>GL</t>
  </si>
  <si>
    <t>Greenland</t>
  </si>
  <si>
    <t>GD</t>
  </si>
  <si>
    <t>GRD</t>
  </si>
  <si>
    <t>Grenada</t>
  </si>
  <si>
    <t>GP</t>
  </si>
  <si>
    <t>Guadeloupe</t>
  </si>
  <si>
    <t>GU</t>
  </si>
  <si>
    <t>Guam</t>
  </si>
  <si>
    <t>GT</t>
  </si>
  <si>
    <t>GTM</t>
  </si>
  <si>
    <t>Guatemala</t>
  </si>
  <si>
    <t>Quetzal</t>
  </si>
  <si>
    <t>GG</t>
  </si>
  <si>
    <t>Guernsey</t>
  </si>
  <si>
    <t>GN</t>
  </si>
  <si>
    <t>GIN</t>
  </si>
  <si>
    <t>Guinea</t>
  </si>
  <si>
    <t>GW</t>
  </si>
  <si>
    <t>GNB</t>
  </si>
  <si>
    <t>Guinea-Bissau</t>
  </si>
  <si>
    <t>GY</t>
  </si>
  <si>
    <t>Guyana</t>
  </si>
  <si>
    <t>HT</t>
  </si>
  <si>
    <t>HTI</t>
  </si>
  <si>
    <t>Haiti</t>
  </si>
  <si>
    <t>HN</t>
  </si>
  <si>
    <t>HND</t>
  </si>
  <si>
    <t>Honduras</t>
  </si>
  <si>
    <t>Lempira</t>
  </si>
  <si>
    <t>HK</t>
  </si>
  <si>
    <t>Hong Kong</t>
  </si>
  <si>
    <t>HK$</t>
  </si>
  <si>
    <t>HU</t>
  </si>
  <si>
    <t>HUN</t>
  </si>
  <si>
    <t>Hungary</t>
  </si>
  <si>
    <t>Forint</t>
  </si>
  <si>
    <t>IS</t>
  </si>
  <si>
    <t>ISL</t>
  </si>
  <si>
    <t>Iceland</t>
  </si>
  <si>
    <t>IN</t>
  </si>
  <si>
    <t>IND</t>
  </si>
  <si>
    <t>India</t>
  </si>
  <si>
    <t>Rupee</t>
  </si>
  <si>
    <t>ID</t>
  </si>
  <si>
    <t>IDN</t>
  </si>
  <si>
    <t>Indonesia</t>
  </si>
  <si>
    <t>Rupiah</t>
  </si>
  <si>
    <t>IR</t>
  </si>
  <si>
    <t>IRN</t>
  </si>
  <si>
    <t>Iran</t>
  </si>
  <si>
    <t>IQ</t>
  </si>
  <si>
    <t>IRQ</t>
  </si>
  <si>
    <t>Iraq</t>
  </si>
  <si>
    <t>IE</t>
  </si>
  <si>
    <t>IRL</t>
  </si>
  <si>
    <t>Ireland</t>
  </si>
  <si>
    <t>IM</t>
  </si>
  <si>
    <t>Isle of Man</t>
  </si>
  <si>
    <t>IL</t>
  </si>
  <si>
    <t>ISR</t>
  </si>
  <si>
    <t>Israel</t>
  </si>
  <si>
    <t>Shekel</t>
  </si>
  <si>
    <t>IT</t>
  </si>
  <si>
    <t>ITA</t>
  </si>
  <si>
    <t>Italy</t>
  </si>
  <si>
    <t>CI</t>
  </si>
  <si>
    <t>CIV</t>
  </si>
  <si>
    <t>Ivory Coast</t>
  </si>
  <si>
    <t>JM</t>
  </si>
  <si>
    <t>JAM</t>
  </si>
  <si>
    <t>Jamaica</t>
  </si>
  <si>
    <t>JP</t>
  </si>
  <si>
    <t>JPN</t>
  </si>
  <si>
    <t>Japan</t>
  </si>
  <si>
    <t>Yen</t>
  </si>
  <si>
    <t>JE</t>
  </si>
  <si>
    <t>Jersey</t>
  </si>
  <si>
    <t>JO</t>
  </si>
  <si>
    <t>JOR</t>
  </si>
  <si>
    <t>Jordan</t>
  </si>
  <si>
    <t>KZ</t>
  </si>
  <si>
    <t>KAZ</t>
  </si>
  <si>
    <t>Kazakhstan</t>
  </si>
  <si>
    <t>KE</t>
  </si>
  <si>
    <t>KEN</t>
  </si>
  <si>
    <t>Kenya</t>
  </si>
  <si>
    <t>KI</t>
  </si>
  <si>
    <t>KIR</t>
  </si>
  <si>
    <t>Kiribati</t>
  </si>
  <si>
    <t>KW</t>
  </si>
  <si>
    <t>Kuwait</t>
  </si>
  <si>
    <t>KG</t>
  </si>
  <si>
    <t>KGZ</t>
  </si>
  <si>
    <t>Kyrgyzstan</t>
  </si>
  <si>
    <t>LA</t>
  </si>
  <si>
    <t>LAO</t>
  </si>
  <si>
    <t>Laos</t>
  </si>
  <si>
    <t>LV</t>
  </si>
  <si>
    <t>LVA</t>
  </si>
  <si>
    <t>Latvia</t>
  </si>
  <si>
    <t>LB</t>
  </si>
  <si>
    <t>LBN</t>
  </si>
  <si>
    <t>Lebanon</t>
  </si>
  <si>
    <t>LS</t>
  </si>
  <si>
    <t>LSO</t>
  </si>
  <si>
    <t>Lesotho</t>
  </si>
  <si>
    <t>LR</t>
  </si>
  <si>
    <t>LBR</t>
  </si>
  <si>
    <t>Liberia</t>
  </si>
  <si>
    <t>LY</t>
  </si>
  <si>
    <t>Libya</t>
  </si>
  <si>
    <t>LI</t>
  </si>
  <si>
    <t>Liechtenstein</t>
  </si>
  <si>
    <t>LT</t>
  </si>
  <si>
    <t>LTU</t>
  </si>
  <si>
    <t>Lithuania</t>
  </si>
  <si>
    <t>LU</t>
  </si>
  <si>
    <t>LUX</t>
  </si>
  <si>
    <t>Luxembourg</t>
  </si>
  <si>
    <t>MO</t>
  </si>
  <si>
    <t>Macau</t>
  </si>
  <si>
    <t>MG</t>
  </si>
  <si>
    <t>MDG</t>
  </si>
  <si>
    <t>Madagascar</t>
  </si>
  <si>
    <t>MW</t>
  </si>
  <si>
    <t>MWI</t>
  </si>
  <si>
    <t>Malawi</t>
  </si>
  <si>
    <t>MY</t>
  </si>
  <si>
    <t>MYS</t>
  </si>
  <si>
    <t>Malaysia</t>
  </si>
  <si>
    <t>Ringgit</t>
  </si>
  <si>
    <t>MV</t>
  </si>
  <si>
    <t>MDV</t>
  </si>
  <si>
    <t>Maldives</t>
  </si>
  <si>
    <t>ML</t>
  </si>
  <si>
    <t>MLI</t>
  </si>
  <si>
    <t>Mali</t>
  </si>
  <si>
    <t>MT</t>
  </si>
  <si>
    <t>MLT</t>
  </si>
  <si>
    <t>Malta</t>
  </si>
  <si>
    <t>MH</t>
  </si>
  <si>
    <t>MHL</t>
  </si>
  <si>
    <t>Marshall Islands</t>
  </si>
  <si>
    <t>MQ</t>
  </si>
  <si>
    <t>Martinique</t>
  </si>
  <si>
    <t>MR</t>
  </si>
  <si>
    <t>MRT</t>
  </si>
  <si>
    <t>Mauritania</t>
  </si>
  <si>
    <t>MU</t>
  </si>
  <si>
    <t>MUS</t>
  </si>
  <si>
    <t>Mauritius</t>
  </si>
  <si>
    <t>YT</t>
  </si>
  <si>
    <t>Mayotte</t>
  </si>
  <si>
    <t>MX</t>
  </si>
  <si>
    <t>MEX</t>
  </si>
  <si>
    <t>Mexico</t>
  </si>
  <si>
    <t>FM</t>
  </si>
  <si>
    <t>FSM</t>
  </si>
  <si>
    <t>Micronesia</t>
  </si>
  <si>
    <t>MD</t>
  </si>
  <si>
    <t>MDA</t>
  </si>
  <si>
    <t>Moldova</t>
  </si>
  <si>
    <t>Leu</t>
  </si>
  <si>
    <t>MC</t>
  </si>
  <si>
    <t>Monaco</t>
  </si>
  <si>
    <t>MN</t>
  </si>
  <si>
    <t>MNG</t>
  </si>
  <si>
    <t>Mongolia</t>
  </si>
  <si>
    <t>ME</t>
  </si>
  <si>
    <t>MNE</t>
  </si>
  <si>
    <t>Montenegro</t>
  </si>
  <si>
    <t>MS</t>
  </si>
  <si>
    <t>Montserrat</t>
  </si>
  <si>
    <t>MA</t>
  </si>
  <si>
    <t>MAR</t>
  </si>
  <si>
    <t>Morocco</t>
  </si>
  <si>
    <t>MZ</t>
  </si>
  <si>
    <t>MOZ</t>
  </si>
  <si>
    <t>Mozambique</t>
  </si>
  <si>
    <t>MM</t>
  </si>
  <si>
    <t>MMR</t>
  </si>
  <si>
    <t>Myanmar</t>
  </si>
  <si>
    <t>NA</t>
  </si>
  <si>
    <t>NAM</t>
  </si>
  <si>
    <t>Namibia</t>
  </si>
  <si>
    <t>NR</t>
  </si>
  <si>
    <t>NRU</t>
  </si>
  <si>
    <t>Nauru</t>
  </si>
  <si>
    <t>NP</t>
  </si>
  <si>
    <t>NPL</t>
  </si>
  <si>
    <t>Nepal</t>
  </si>
  <si>
    <t>NL</t>
  </si>
  <si>
    <t>NLD</t>
  </si>
  <si>
    <t>Netherlands</t>
  </si>
  <si>
    <t>NC</t>
  </si>
  <si>
    <t>New Caledonia</t>
  </si>
  <si>
    <t>NZ</t>
  </si>
  <si>
    <t>New Zealand</t>
  </si>
  <si>
    <t>NZ$</t>
  </si>
  <si>
    <t>NI</t>
  </si>
  <si>
    <t>NIC</t>
  </si>
  <si>
    <t>Nicaragua</t>
  </si>
  <si>
    <t>Córdoba</t>
  </si>
  <si>
    <t>NE</t>
  </si>
  <si>
    <t>NER</t>
  </si>
  <si>
    <t>Niger</t>
  </si>
  <si>
    <t>NG</t>
  </si>
  <si>
    <t>NGA</t>
  </si>
  <si>
    <t>Nigeria</t>
  </si>
  <si>
    <t>NU</t>
  </si>
  <si>
    <t>Niue</t>
  </si>
  <si>
    <t>KP</t>
  </si>
  <si>
    <t>North Korea</t>
  </si>
  <si>
    <t>MK</t>
  </si>
  <si>
    <t>MKD</t>
  </si>
  <si>
    <t>North Macedonia</t>
  </si>
  <si>
    <t>MP</t>
  </si>
  <si>
    <t>Northern Mariana Islands</t>
  </si>
  <si>
    <t>NO</t>
  </si>
  <si>
    <t>NOR</t>
  </si>
  <si>
    <t>Norway</t>
  </si>
  <si>
    <t>OM</t>
  </si>
  <si>
    <t>Oman</t>
  </si>
  <si>
    <t>Rial</t>
  </si>
  <si>
    <t>PK</t>
  </si>
  <si>
    <t>PAK</t>
  </si>
  <si>
    <t>Pakistan</t>
  </si>
  <si>
    <t>PW</t>
  </si>
  <si>
    <t>Palau</t>
  </si>
  <si>
    <t>PS</t>
  </si>
  <si>
    <t>PSE</t>
  </si>
  <si>
    <t>Palestine</t>
  </si>
  <si>
    <t>PA</t>
  </si>
  <si>
    <t>PAN</t>
  </si>
  <si>
    <t>Panama</t>
  </si>
  <si>
    <t>PG</t>
  </si>
  <si>
    <t>Papua New Guinea</t>
  </si>
  <si>
    <t>PY</t>
  </si>
  <si>
    <t>PRY</t>
  </si>
  <si>
    <t>Paraguay</t>
  </si>
  <si>
    <t>PE</t>
  </si>
  <si>
    <t>PER</t>
  </si>
  <si>
    <t>Peru</t>
  </si>
  <si>
    <t>Sol</t>
  </si>
  <si>
    <t>PH</t>
  </si>
  <si>
    <t>PHL</t>
  </si>
  <si>
    <t>Philippines</t>
  </si>
  <si>
    <t>PL</t>
  </si>
  <si>
    <t>POL</t>
  </si>
  <si>
    <t>Poland</t>
  </si>
  <si>
    <t>Zloty</t>
  </si>
  <si>
    <t>PT</t>
  </si>
  <si>
    <t>PRT</t>
  </si>
  <si>
    <t>Portugal</t>
  </si>
  <si>
    <t>PR</t>
  </si>
  <si>
    <t>Puerto Rico</t>
  </si>
  <si>
    <t>QA</t>
  </si>
  <si>
    <t>QAT</t>
  </si>
  <si>
    <t>Qatar</t>
  </si>
  <si>
    <t>Riyal</t>
  </si>
  <si>
    <t>CG</t>
  </si>
  <si>
    <t>COG</t>
  </si>
  <si>
    <t>Republic of the Congo</t>
  </si>
  <si>
    <t>RE</t>
  </si>
  <si>
    <t>Reunion</t>
  </si>
  <si>
    <t>RO</t>
  </si>
  <si>
    <t>ROU</t>
  </si>
  <si>
    <t>Romania</t>
  </si>
  <si>
    <t>RU</t>
  </si>
  <si>
    <t>RUS</t>
  </si>
  <si>
    <t>Russia</t>
  </si>
  <si>
    <t>RW</t>
  </si>
  <si>
    <t>RWA</t>
  </si>
  <si>
    <t>Rwanda</t>
  </si>
  <si>
    <t>BL</t>
  </si>
  <si>
    <t>Saint Barthelemy</t>
  </si>
  <si>
    <t>KN</t>
  </si>
  <si>
    <t>Saint Kitts and Nevis</t>
  </si>
  <si>
    <t>LC</t>
  </si>
  <si>
    <t>LCA</t>
  </si>
  <si>
    <t>Saint Lucia</t>
  </si>
  <si>
    <t>MF</t>
  </si>
  <si>
    <t>Saint Martin</t>
  </si>
  <si>
    <t>PM</t>
  </si>
  <si>
    <t>Saint Pierre and Miquelon</t>
  </si>
  <si>
    <t>VC</t>
  </si>
  <si>
    <t>Saint Vincent and the Grenadines</t>
  </si>
  <si>
    <t>WS</t>
  </si>
  <si>
    <t>WSM</t>
  </si>
  <si>
    <t>Samoa</t>
  </si>
  <si>
    <t>SM</t>
  </si>
  <si>
    <t>San Marino</t>
  </si>
  <si>
    <t>ST</t>
  </si>
  <si>
    <t>STP</t>
  </si>
  <si>
    <t>Sao Tome and Principe</t>
  </si>
  <si>
    <t>SA</t>
  </si>
  <si>
    <t>Saudi Arabia</t>
  </si>
  <si>
    <t>SN</t>
  </si>
  <si>
    <t>SEN</t>
  </si>
  <si>
    <t>Senegal</t>
  </si>
  <si>
    <t>RS</t>
  </si>
  <si>
    <t>SRB</t>
  </si>
  <si>
    <t>Serbia</t>
  </si>
  <si>
    <t>SC</t>
  </si>
  <si>
    <t>SYC</t>
  </si>
  <si>
    <t>Seychelles</t>
  </si>
  <si>
    <t>SL</t>
  </si>
  <si>
    <t>SLE</t>
  </si>
  <si>
    <t>Sierra Leone</t>
  </si>
  <si>
    <t>SG</t>
  </si>
  <si>
    <t>Singapore</t>
  </si>
  <si>
    <t>S$</t>
  </si>
  <si>
    <t>SX</t>
  </si>
  <si>
    <t>Sint Maarten</t>
  </si>
  <si>
    <t>SK</t>
  </si>
  <si>
    <t>SVK</t>
  </si>
  <si>
    <t>Slovakia</t>
  </si>
  <si>
    <t>SI</t>
  </si>
  <si>
    <t>SVN</t>
  </si>
  <si>
    <t>Slovenia</t>
  </si>
  <si>
    <t>SB</t>
  </si>
  <si>
    <t>SLB</t>
  </si>
  <si>
    <t>Solomon Islands</t>
  </si>
  <si>
    <t>SO</t>
  </si>
  <si>
    <t>Somalia</t>
  </si>
  <si>
    <t>ZA</t>
  </si>
  <si>
    <t>ZAF</t>
  </si>
  <si>
    <t>South Africa</t>
  </si>
  <si>
    <t>Rand</t>
  </si>
  <si>
    <t>KR</t>
  </si>
  <si>
    <t>KOR</t>
  </si>
  <si>
    <t>South Korea</t>
  </si>
  <si>
    <t>Won</t>
  </si>
  <si>
    <t>SS</t>
  </si>
  <si>
    <t>SSD</t>
  </si>
  <si>
    <t>South Sudan</t>
  </si>
  <si>
    <t>ES</t>
  </si>
  <si>
    <t>ESP</t>
  </si>
  <si>
    <t>Spain</t>
  </si>
  <si>
    <t>LK</t>
  </si>
  <si>
    <t>LKA</t>
  </si>
  <si>
    <t>Sri Lanka</t>
  </si>
  <si>
    <t>SD</t>
  </si>
  <si>
    <t>SDN</t>
  </si>
  <si>
    <t>Sudan</t>
  </si>
  <si>
    <t>SR</t>
  </si>
  <si>
    <t>SUR</t>
  </si>
  <si>
    <t>Suriname</t>
  </si>
  <si>
    <t>SE</t>
  </si>
  <si>
    <t>SWE</t>
  </si>
  <si>
    <t>Sweden</t>
  </si>
  <si>
    <t>Krona</t>
  </si>
  <si>
    <t>CH</t>
  </si>
  <si>
    <t>CHE</t>
  </si>
  <si>
    <t>Switzerland</t>
  </si>
  <si>
    <t>Franc</t>
  </si>
  <si>
    <t>SY</t>
  </si>
  <si>
    <t>SYR</t>
  </si>
  <si>
    <t>Syria</t>
  </si>
  <si>
    <t>TW</t>
  </si>
  <si>
    <t>TWN</t>
  </si>
  <si>
    <t>Taiwan</t>
  </si>
  <si>
    <t>NT$</t>
  </si>
  <si>
    <t>TJ</t>
  </si>
  <si>
    <t>TJK</t>
  </si>
  <si>
    <t>Tajikistan</t>
  </si>
  <si>
    <t>TZ</t>
  </si>
  <si>
    <t>TZA</t>
  </si>
  <si>
    <t>Tanzania</t>
  </si>
  <si>
    <t>TH</t>
  </si>
  <si>
    <t>THA</t>
  </si>
  <si>
    <t>Thailand</t>
  </si>
  <si>
    <t>Baht</t>
  </si>
  <si>
    <t>TL</t>
  </si>
  <si>
    <t>TLS</t>
  </si>
  <si>
    <t>Timor-Leste</t>
  </si>
  <si>
    <t>TG</t>
  </si>
  <si>
    <t>TGO</t>
  </si>
  <si>
    <t>Togo</t>
  </si>
  <si>
    <t>TK</t>
  </si>
  <si>
    <t>Tokelau</t>
  </si>
  <si>
    <t>TO</t>
  </si>
  <si>
    <t>TON</t>
  </si>
  <si>
    <t>Tonga</t>
  </si>
  <si>
    <t>TT</t>
  </si>
  <si>
    <t>Trinidad and Tobago</t>
  </si>
  <si>
    <t>TN</t>
  </si>
  <si>
    <t>TUN</t>
  </si>
  <si>
    <t>Tunisia</t>
  </si>
  <si>
    <t>TR</t>
  </si>
  <si>
    <t>TUR</t>
  </si>
  <si>
    <t>Turkey</t>
  </si>
  <si>
    <t>Lira</t>
  </si>
  <si>
    <t>TM</t>
  </si>
  <si>
    <t>Turkmenistan</t>
  </si>
  <si>
    <t>TC</t>
  </si>
  <si>
    <t>Turks and Caicos Islands</t>
  </si>
  <si>
    <t>TV</t>
  </si>
  <si>
    <t>TUV</t>
  </si>
  <si>
    <t>Tuvalu</t>
  </si>
  <si>
    <t>UG</t>
  </si>
  <si>
    <t>UGA</t>
  </si>
  <si>
    <t>Uganda</t>
  </si>
  <si>
    <t>UA</t>
  </si>
  <si>
    <t>UKR</t>
  </si>
  <si>
    <t>Ukraine</t>
  </si>
  <si>
    <t>Hryvnia</t>
  </si>
  <si>
    <t>AE</t>
  </si>
  <si>
    <t>ARE</t>
  </si>
  <si>
    <t>United Arab Emirates</t>
  </si>
  <si>
    <t>Dirham</t>
  </si>
  <si>
    <t>GB</t>
  </si>
  <si>
    <t>GBR</t>
  </si>
  <si>
    <t>United Kingdom</t>
  </si>
  <si>
    <t>US</t>
  </si>
  <si>
    <t>USA</t>
  </si>
  <si>
    <t>United States</t>
  </si>
  <si>
    <t>US$</t>
  </si>
  <si>
    <t>VI</t>
  </si>
  <si>
    <t>United States Virgin Islands</t>
  </si>
  <si>
    <t>UY</t>
  </si>
  <si>
    <t>URY</t>
  </si>
  <si>
    <t>Uruguay</t>
  </si>
  <si>
    <t>UZ</t>
  </si>
  <si>
    <t>UZB</t>
  </si>
  <si>
    <t>Uzbekistan</t>
  </si>
  <si>
    <t>VU</t>
  </si>
  <si>
    <t>VUT</t>
  </si>
  <si>
    <t>Vanuatu</t>
  </si>
  <si>
    <t>VA</t>
  </si>
  <si>
    <t>Vatican City</t>
  </si>
  <si>
    <t>VE</t>
  </si>
  <si>
    <t>Venezuela</t>
  </si>
  <si>
    <t>Bolívar</t>
  </si>
  <si>
    <t>VN</t>
  </si>
  <si>
    <t>VNM</t>
  </si>
  <si>
    <t>Vietnam</t>
  </si>
  <si>
    <t>Dong</t>
  </si>
  <si>
    <t>WF</t>
  </si>
  <si>
    <t>Wallis and Futuna</t>
  </si>
  <si>
    <t>EH</t>
  </si>
  <si>
    <t>Western Sahara</t>
  </si>
  <si>
    <t>YE</t>
  </si>
  <si>
    <t>YEM</t>
  </si>
  <si>
    <t>Yemen</t>
  </si>
  <si>
    <t>ZM</t>
  </si>
  <si>
    <t>ZMB</t>
  </si>
  <si>
    <t>Zambia</t>
  </si>
  <si>
    <t>ZW</t>
  </si>
  <si>
    <t>ZWE</t>
  </si>
  <si>
    <t>Zimbabwe</t>
  </si>
  <si>
    <t>Best Country</t>
  </si>
  <si>
    <t>Overall rating</t>
  </si>
  <si>
    <t xml:space="preserve">Continent: </t>
  </si>
  <si>
    <t>Gini</t>
  </si>
  <si>
    <t>HDI</t>
  </si>
  <si>
    <t>Life expectancy</t>
  </si>
  <si>
    <t>GDP per capita</t>
  </si>
  <si>
    <t>Cost of living</t>
  </si>
  <si>
    <t>Safety</t>
  </si>
  <si>
    <t>Health Care</t>
  </si>
  <si>
    <t>Happieness</t>
  </si>
  <si>
    <t>Cost of living (including rent)</t>
  </si>
  <si>
    <t>Min</t>
  </si>
  <si>
    <t>Max</t>
  </si>
  <si>
    <t>0-100%</t>
  </si>
  <si>
    <t>Move the sliders to set your priorities</t>
  </si>
  <si>
    <t>Low cost of living (including rent)</t>
  </si>
  <si>
    <t>High life expectancy</t>
  </si>
  <si>
    <t>High human development</t>
  </si>
  <si>
    <t>Low income inequality</t>
  </si>
  <si>
    <t>High income</t>
  </si>
  <si>
    <t>High safety</t>
  </si>
  <si>
    <t>Good health care</t>
  </si>
  <si>
    <t>High happieness</t>
  </si>
  <si>
    <t>Income</t>
  </si>
  <si>
    <t>Development</t>
  </si>
  <si>
    <t>Rating</t>
  </si>
  <si>
    <t>Clean ratings x100</t>
  </si>
  <si>
    <t>Continents</t>
  </si>
  <si>
    <t>Map</t>
  </si>
  <si>
    <t>Bars</t>
  </si>
  <si>
    <t>Diagram type:</t>
  </si>
  <si>
    <t>Ratings by Continent:</t>
  </si>
  <si>
    <t>Diagram Type</t>
  </si>
  <si>
    <t>World</t>
  </si>
  <si>
    <t>Top Country</t>
  </si>
  <si>
    <t>Top Rating</t>
  </si>
  <si>
    <t>According to you, the best country is</t>
  </si>
  <si>
    <t>Income inequality</t>
  </si>
  <si>
    <t>Life Expectancy</t>
  </si>
  <si>
    <t>Digits to round:</t>
  </si>
  <si>
    <t>Your overall rating (0-100)</t>
  </si>
  <si>
    <t>Top 10 sorted</t>
  </si>
  <si>
    <t>Correlations</t>
  </si>
  <si>
    <t>Mean years of schooling</t>
  </si>
  <si>
    <t>Compare 2 metrics</t>
  </si>
  <si>
    <t>&amp;</t>
  </si>
  <si>
    <t>μ</t>
  </si>
  <si>
    <t>σ</t>
  </si>
  <si>
    <t>Country/Metric</t>
  </si>
  <si>
    <t>Scatter Plot</t>
  </si>
  <si>
    <t>Boxplot 1</t>
  </si>
  <si>
    <t>Boxplot 2</t>
  </si>
  <si>
    <t>GDP per capita [USD]</t>
  </si>
  <si>
    <t>GNI per capita [USD]</t>
  </si>
  <si>
    <t>Life expectancy [years]</t>
  </si>
  <si>
    <t>Big Mac index [%]</t>
  </si>
  <si>
    <t>HDI [0-1]</t>
  </si>
  <si>
    <t>Gini coefficient [0-1]</t>
  </si>
  <si>
    <t>GDP
(IMF '25; USD)</t>
  </si>
  <si>
    <t>GDP
(UN '23; USD)</t>
  </si>
  <si>
    <t>Correlation matrix</t>
  </si>
  <si>
    <t>r=</t>
  </si>
  <si>
    <t>Q₁</t>
  </si>
  <si>
    <t>Q₂</t>
  </si>
  <si>
    <t>Q₃</t>
  </si>
  <si>
    <t>Count*</t>
  </si>
  <si>
    <t>*Count of observed countries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</si>
</sst>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"/>
    <numFmt numFmtId="165" formatCode=";;;"/>
    <numFmt numFmtId="166" formatCode="[$$-409]#,##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 tint="0.499984740745262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0" fontId="6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12" xfId="0" applyBorder="1"/>
    <xf numFmtId="0" fontId="5" fillId="0" borderId="0" xfId="0" applyFont="1" applyAlignment="1">
      <alignment horizontal="centerContinuous"/>
    </xf>
    <xf numFmtId="0" fontId="7" fillId="0" borderId="0" xfId="0" applyFont="1"/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right"/>
    </xf>
    <xf numFmtId="0" fontId="8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applyAlignment="1">
      <alignment textRotation="45"/>
    </xf>
    <xf numFmtId="0" fontId="0" fillId="0" borderId="13" xfId="0" applyBorder="1"/>
    <xf numFmtId="0" fontId="0" fillId="0" borderId="10" xfId="0" applyBorder="1"/>
    <xf numFmtId="0" fontId="0" fillId="0" borderId="13" xfId="0" applyBorder="1" applyAlignment="1">
      <alignment textRotation="135"/>
    </xf>
    <xf numFmtId="0" fontId="0" fillId="0" borderId="0" xfId="0" applyAlignment="1">
      <alignment textRotation="135"/>
    </xf>
    <xf numFmtId="0" fontId="0" fillId="0" borderId="0" xfId="0" applyAlignment="1">
      <alignment vertical="center"/>
    </xf>
    <xf numFmtId="0" fontId="0" fillId="0" borderId="9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10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0" fontId="0" fillId="2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left" vertical="top" wrapText="1"/>
    </xf>
    <xf numFmtId="0" fontId="0" fillId="0" borderId="0" xfId="0" applyBorder="1"/>
    <xf numFmtId="0" fontId="0" fillId="0" borderId="0" xfId="0" applyBorder="1" applyAlignment="1">
      <alignment vertical="top" wrapText="1"/>
    </xf>
    <xf numFmtId="0" fontId="0" fillId="0" borderId="0" xfId="0" applyBorder="1" applyAlignment="1">
      <alignment horizontal="left" vertical="top" wrapText="1"/>
    </xf>
    <xf numFmtId="0" fontId="9" fillId="0" borderId="8" xfId="0" applyFont="1" applyBorder="1" applyAlignment="1">
      <alignment horizontal="left" vertical="center"/>
    </xf>
  </cellXfs>
  <cellStyles count="1">
    <cellStyle name="Standard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63BE7B"/>
      <color rgb="FFFFEB84"/>
      <color rgb="FFF8696B"/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Top countries with your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43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B6-4FD4-8E83-118D09EC2C6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5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B6-4FD4-8E83-118D09EC2C6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6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B6-4FD4-8E83-118D09EC2C6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81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B6-4FD4-8E83-118D09EC2C6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94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B6-4FD4-8E83-118D09EC2C6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shade val="93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B6-4FD4-8E83-118D09EC2C64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shade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B6-4FD4-8E83-118D09EC2C64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shade val="6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B6-4FD4-8E83-118D09EC2C64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shade val="5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B6-4FD4-8E83-118D09EC2C64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shade val="42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6AB6-4FD4-8E83-118D09EC2C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'Best Country (help)'!$A$20:$A$29</c:f>
              <c:strCache>
                <c:ptCount val="10"/>
                <c:pt idx="0">
                  <c:v>Poland</c:v>
                </c:pt>
                <c:pt idx="1">
                  <c:v>Sweden</c:v>
                </c:pt>
                <c:pt idx="2">
                  <c:v>Luxembourg</c:v>
                </c:pt>
                <c:pt idx="3">
                  <c:v>Netherlands</c:v>
                </c:pt>
                <c:pt idx="4">
                  <c:v>Slovenia</c:v>
                </c:pt>
                <c:pt idx="5">
                  <c:v>Denmark</c:v>
                </c:pt>
                <c:pt idx="6">
                  <c:v>Ireland</c:v>
                </c:pt>
                <c:pt idx="7">
                  <c:v>Norway</c:v>
                </c:pt>
                <c:pt idx="8">
                  <c:v>Finland</c:v>
                </c:pt>
                <c:pt idx="9">
                  <c:v>Iceland</c:v>
                </c:pt>
              </c:strCache>
            </c:strRef>
          </c:cat>
          <c:val>
            <c:numRef>
              <c:f>'Best Country (help)'!$B$20:$B$29</c:f>
              <c:numCache>
                <c:formatCode>General</c:formatCode>
                <c:ptCount val="10"/>
                <c:pt idx="0">
                  <c:v>70.069999999999993</c:v>
                </c:pt>
                <c:pt idx="1">
                  <c:v>70.83</c:v>
                </c:pt>
                <c:pt idx="2">
                  <c:v>71.569999999999993</c:v>
                </c:pt>
                <c:pt idx="3">
                  <c:v>72.510000000000005</c:v>
                </c:pt>
                <c:pt idx="4">
                  <c:v>72.84</c:v>
                </c:pt>
                <c:pt idx="5">
                  <c:v>72.989999999999995</c:v>
                </c:pt>
                <c:pt idx="6">
                  <c:v>73.2</c:v>
                </c:pt>
                <c:pt idx="7">
                  <c:v>73.53</c:v>
                </c:pt>
                <c:pt idx="8">
                  <c:v>73.569999999999993</c:v>
                </c:pt>
                <c:pt idx="9">
                  <c:v>73.81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AA-405E-86D1-055E3832810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87391455"/>
        <c:axId val="1387408255"/>
      </c:barChart>
      <c:catAx>
        <c:axId val="1387391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87408255"/>
        <c:crosses val="autoZero"/>
        <c:auto val="1"/>
        <c:lblAlgn val="ctr"/>
        <c:lblOffset val="100"/>
        <c:noMultiLvlLbl val="0"/>
      </c:catAx>
      <c:valAx>
        <c:axId val="1387408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8739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'Correlations (help)'!$C$20</c:f>
              <c:strCache>
                <c:ptCount val="1"/>
                <c:pt idx="0">
                  <c:v>Gini coefficient [0-1]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4">
                    <a:lumMod val="50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'Correlations (help)'!$B$21:$B$213</c:f>
              <c:numCache>
                <c:formatCode>General</c:formatCode>
                <c:ptCount val="193"/>
                <c:pt idx="0">
                  <c:v>0.81</c:v>
                </c:pt>
                <c:pt idx="1">
                  <c:v>0.76300000000000001</c:v>
                </c:pt>
                <c:pt idx="2">
                  <c:v>0.61599999999999999</c:v>
                </c:pt>
                <c:pt idx="3">
                  <c:v>0.86499999999999999</c:v>
                </c:pt>
                <c:pt idx="4">
                  <c:v>0.81100000000000005</c:v>
                </c:pt>
                <c:pt idx="5">
                  <c:v>0.95799999999999996</c:v>
                </c:pt>
                <c:pt idx="6">
                  <c:v>0.93</c:v>
                </c:pt>
                <c:pt idx="7">
                  <c:v>0.68500000000000005</c:v>
                </c:pt>
                <c:pt idx="8">
                  <c:v>0.81100000000000005</c:v>
                </c:pt>
                <c:pt idx="9">
                  <c:v>0.82399999999999995</c:v>
                </c:pt>
                <c:pt idx="10">
                  <c:v>0.95099999999999996</c:v>
                </c:pt>
                <c:pt idx="11">
                  <c:v>0.72099999999999997</c:v>
                </c:pt>
                <c:pt idx="12">
                  <c:v>0.51500000000000001</c:v>
                </c:pt>
                <c:pt idx="13">
                  <c:v>0.69799999999999995</c:v>
                </c:pt>
                <c:pt idx="14">
                  <c:v>0.73299999999999998</c:v>
                </c:pt>
                <c:pt idx="15">
                  <c:v>0.80400000000000005</c:v>
                </c:pt>
                <c:pt idx="16">
                  <c:v>0.73099999999999998</c:v>
                </c:pt>
                <c:pt idx="17">
                  <c:v>0.78600000000000003</c:v>
                </c:pt>
                <c:pt idx="18">
                  <c:v>0.84499999999999997</c:v>
                </c:pt>
                <c:pt idx="19">
                  <c:v>0.45900000000000002</c:v>
                </c:pt>
                <c:pt idx="20">
                  <c:v>0.439</c:v>
                </c:pt>
                <c:pt idx="21">
                  <c:v>0.58799999999999997</c:v>
                </c:pt>
                <c:pt idx="22">
                  <c:v>0.93899999999999995</c:v>
                </c:pt>
                <c:pt idx="23">
                  <c:v>0.66800000000000004</c:v>
                </c:pt>
                <c:pt idx="24">
                  <c:v>0.41399999999999998</c:v>
                </c:pt>
                <c:pt idx="25">
                  <c:v>0.41599999999999998</c:v>
                </c:pt>
                <c:pt idx="26">
                  <c:v>0.878</c:v>
                </c:pt>
                <c:pt idx="27">
                  <c:v>0.79700000000000004</c:v>
                </c:pt>
                <c:pt idx="28">
                  <c:v>0.78800000000000003</c:v>
                </c:pt>
                <c:pt idx="29">
                  <c:v>0.60299999999999998</c:v>
                </c:pt>
                <c:pt idx="30">
                  <c:v>0.83299999999999996</c:v>
                </c:pt>
                <c:pt idx="31">
                  <c:v>0.88900000000000001</c:v>
                </c:pt>
                <c:pt idx="32">
                  <c:v>0.91300000000000003</c:v>
                </c:pt>
                <c:pt idx="33">
                  <c:v>0.91500000000000004</c:v>
                </c:pt>
                <c:pt idx="34">
                  <c:v>0.52200000000000002</c:v>
                </c:pt>
                <c:pt idx="35">
                  <c:v>0.96199999999999997</c:v>
                </c:pt>
                <c:pt idx="36">
                  <c:v>0.51300000000000001</c:v>
                </c:pt>
                <c:pt idx="37">
                  <c:v>0.77600000000000002</c:v>
                </c:pt>
                <c:pt idx="38">
                  <c:v>0.77700000000000002</c:v>
                </c:pt>
                <c:pt idx="39">
                  <c:v>0.754</c:v>
                </c:pt>
                <c:pt idx="40">
                  <c:v>0.67800000000000005</c:v>
                </c:pt>
                <c:pt idx="41">
                  <c:v>0.67400000000000004</c:v>
                </c:pt>
                <c:pt idx="42">
                  <c:v>0.90500000000000003</c:v>
                </c:pt>
                <c:pt idx="43">
                  <c:v>0.69499999999999995</c:v>
                </c:pt>
                <c:pt idx="44">
                  <c:v>0.497</c:v>
                </c:pt>
                <c:pt idx="45">
                  <c:v>0.73099999999999998</c:v>
                </c:pt>
                <c:pt idx="46">
                  <c:v>0.94799999999999995</c:v>
                </c:pt>
                <c:pt idx="47">
                  <c:v>0.92</c:v>
                </c:pt>
                <c:pt idx="48">
                  <c:v>0.73299999999999998</c:v>
                </c:pt>
                <c:pt idx="49">
                  <c:v>0.52400000000000002</c:v>
                </c:pt>
                <c:pt idx="50">
                  <c:v>0.84399999999999997</c:v>
                </c:pt>
                <c:pt idx="51">
                  <c:v>0.95899999999999996</c:v>
                </c:pt>
                <c:pt idx="52">
                  <c:v>0.628</c:v>
                </c:pt>
                <c:pt idx="53">
                  <c:v>0.90800000000000003</c:v>
                </c:pt>
                <c:pt idx="54">
                  <c:v>0.79100000000000004</c:v>
                </c:pt>
                <c:pt idx="55">
                  <c:v>0.66200000000000003</c:v>
                </c:pt>
                <c:pt idx="56">
                  <c:v>0.5</c:v>
                </c:pt>
                <c:pt idx="57">
                  <c:v>0.51400000000000001</c:v>
                </c:pt>
                <c:pt idx="58">
                  <c:v>0.55400000000000005</c:v>
                </c:pt>
                <c:pt idx="59">
                  <c:v>0.64500000000000002</c:v>
                </c:pt>
                <c:pt idx="60">
                  <c:v>0.87</c:v>
                </c:pt>
                <c:pt idx="61">
                  <c:v>0.97199999999999998</c:v>
                </c:pt>
                <c:pt idx="62">
                  <c:v>0.68500000000000005</c:v>
                </c:pt>
                <c:pt idx="63">
                  <c:v>0.72799999999999998</c:v>
                </c:pt>
                <c:pt idx="64">
                  <c:v>0.79900000000000004</c:v>
                </c:pt>
                <c:pt idx="65">
                  <c:v>0.69499999999999995</c:v>
                </c:pt>
                <c:pt idx="66">
                  <c:v>0.94899999999999995</c:v>
                </c:pt>
                <c:pt idx="67">
                  <c:v>0.91900000000000004</c:v>
                </c:pt>
                <c:pt idx="68">
                  <c:v>0.91500000000000004</c:v>
                </c:pt>
                <c:pt idx="69">
                  <c:v>0.58199999999999996</c:v>
                </c:pt>
                <c:pt idx="70">
                  <c:v>0.72</c:v>
                </c:pt>
                <c:pt idx="71">
                  <c:v>0.92500000000000004</c:v>
                </c:pt>
                <c:pt idx="72">
                  <c:v>0.754</c:v>
                </c:pt>
                <c:pt idx="73">
                  <c:v>0.83699999999999997</c:v>
                </c:pt>
                <c:pt idx="74">
                  <c:v>0.628</c:v>
                </c:pt>
                <c:pt idx="75">
                  <c:v>0.64400000000000002</c:v>
                </c:pt>
                <c:pt idx="76">
                  <c:v>0.72</c:v>
                </c:pt>
                <c:pt idx="77">
                  <c:v>0.61699999999999999</c:v>
                </c:pt>
                <c:pt idx="78">
                  <c:v>0.88900000000000001</c:v>
                </c:pt>
                <c:pt idx="79">
                  <c:v>0.752</c:v>
                </c:pt>
                <c:pt idx="80">
                  <c:v>0.55000000000000004</c:v>
                </c:pt>
                <c:pt idx="81">
                  <c:v>0.51</c:v>
                </c:pt>
                <c:pt idx="82">
                  <c:v>0.89500000000000002</c:v>
                </c:pt>
                <c:pt idx="83">
                  <c:v>0.92200000000000004</c:v>
                </c:pt>
                <c:pt idx="84">
                  <c:v>0.48699999999999999</c:v>
                </c:pt>
                <c:pt idx="85">
                  <c:v>0.51700000000000002</c:v>
                </c:pt>
                <c:pt idx="86">
                  <c:v>0.81899999999999995</c:v>
                </c:pt>
                <c:pt idx="87">
                  <c:v>0.76600000000000001</c:v>
                </c:pt>
                <c:pt idx="88">
                  <c:v>0.41899999999999998</c:v>
                </c:pt>
                <c:pt idx="89">
                  <c:v>0.92400000000000004</c:v>
                </c:pt>
                <c:pt idx="90">
                  <c:v>0.73299999999999998</c:v>
                </c:pt>
                <c:pt idx="91">
                  <c:v>0.56299999999999994</c:v>
                </c:pt>
                <c:pt idx="92">
                  <c:v>0.80600000000000005</c:v>
                </c:pt>
                <c:pt idx="93">
                  <c:v>0.78900000000000003</c:v>
                </c:pt>
                <c:pt idx="94">
                  <c:v>0.61499999999999999</c:v>
                </c:pt>
                <c:pt idx="95">
                  <c:v>0.78500000000000003</c:v>
                </c:pt>
                <c:pt idx="96">
                  <c:v>0.747</c:v>
                </c:pt>
                <c:pt idx="97">
                  <c:v>0.86199999999999999</c:v>
                </c:pt>
                <c:pt idx="98">
                  <c:v>0.71</c:v>
                </c:pt>
                <c:pt idx="99">
                  <c:v>0.49299999999999999</c:v>
                </c:pt>
                <c:pt idx="100">
                  <c:v>0.60899999999999999</c:v>
                </c:pt>
                <c:pt idx="101">
                  <c:v>0.66500000000000004</c:v>
                </c:pt>
                <c:pt idx="102">
                  <c:v>0.70299999999999996</c:v>
                </c:pt>
                <c:pt idx="103">
                  <c:v>0.622</c:v>
                </c:pt>
                <c:pt idx="104">
                  <c:v>0.95499999999999996</c:v>
                </c:pt>
                <c:pt idx="105">
                  <c:v>0.70599999999999996</c:v>
                </c:pt>
                <c:pt idx="106">
                  <c:v>0.41899999999999998</c:v>
                </c:pt>
                <c:pt idx="107">
                  <c:v>0.56000000000000005</c:v>
                </c:pt>
                <c:pt idx="108">
                  <c:v>0.81499999999999995</c:v>
                </c:pt>
                <c:pt idx="109">
                  <c:v>0.97</c:v>
                </c:pt>
                <c:pt idx="110">
                  <c:v>0.54400000000000004</c:v>
                </c:pt>
                <c:pt idx="111">
                  <c:v>0.67400000000000004</c:v>
                </c:pt>
                <c:pt idx="112">
                  <c:v>0.83899999999999997</c:v>
                </c:pt>
                <c:pt idx="113">
                  <c:v>0.75600000000000001</c:v>
                </c:pt>
                <c:pt idx="114">
                  <c:v>0.79400000000000004</c:v>
                </c:pt>
                <c:pt idx="115">
                  <c:v>0.72</c:v>
                </c:pt>
                <c:pt idx="116">
                  <c:v>0.90600000000000003</c:v>
                </c:pt>
                <c:pt idx="117">
                  <c:v>0.89</c:v>
                </c:pt>
                <c:pt idx="118">
                  <c:v>0.88600000000000001</c:v>
                </c:pt>
                <c:pt idx="119">
                  <c:v>0.64900000000000002</c:v>
                </c:pt>
                <c:pt idx="120">
                  <c:v>0.84499999999999997</c:v>
                </c:pt>
                <c:pt idx="121">
                  <c:v>0.83199999999999996</c:v>
                </c:pt>
                <c:pt idx="122">
                  <c:v>0.57799999999999996</c:v>
                </c:pt>
                <c:pt idx="123">
                  <c:v>0.748</c:v>
                </c:pt>
                <c:pt idx="124">
                  <c:v>0.70799999999999996</c:v>
                </c:pt>
                <c:pt idx="125">
                  <c:v>0.63700000000000001</c:v>
                </c:pt>
                <c:pt idx="126">
                  <c:v>0.53</c:v>
                </c:pt>
                <c:pt idx="127">
                  <c:v>0.83299999999999996</c:v>
                </c:pt>
                <c:pt idx="128">
                  <c:v>0.84799999999999998</c:v>
                </c:pt>
                <c:pt idx="129">
                  <c:v>0.46700000000000003</c:v>
                </c:pt>
                <c:pt idx="130">
                  <c:v>0.88</c:v>
                </c:pt>
                <c:pt idx="131">
                  <c:v>0.93100000000000005</c:v>
                </c:pt>
                <c:pt idx="132">
                  <c:v>0.58399999999999996</c:v>
                </c:pt>
                <c:pt idx="133">
                  <c:v>0.74099999999999999</c:v>
                </c:pt>
                <c:pt idx="134">
                  <c:v>0.93700000000000006</c:v>
                </c:pt>
                <c:pt idx="135">
                  <c:v>0.38800000000000001</c:v>
                </c:pt>
                <c:pt idx="136">
                  <c:v>0.91800000000000004</c:v>
                </c:pt>
                <c:pt idx="137">
                  <c:v>0.77600000000000002</c:v>
                </c:pt>
                <c:pt idx="138">
                  <c:v>0.51100000000000001</c:v>
                </c:pt>
                <c:pt idx="139">
                  <c:v>0.72199999999999998</c:v>
                </c:pt>
                <c:pt idx="140">
                  <c:v>0.95899999999999996</c:v>
                </c:pt>
                <c:pt idx="141">
                  <c:v>0.97</c:v>
                </c:pt>
                <c:pt idx="142">
                  <c:v>0.56399999999999995</c:v>
                </c:pt>
                <c:pt idx="143">
                  <c:v>0.69099999999999995</c:v>
                </c:pt>
                <c:pt idx="144">
                  <c:v>0.55500000000000005</c:v>
                </c:pt>
                <c:pt idx="145">
                  <c:v>0.79800000000000004</c:v>
                </c:pt>
                <c:pt idx="146">
                  <c:v>0.63400000000000001</c:v>
                </c:pt>
                <c:pt idx="147">
                  <c:v>0.57099999999999995</c:v>
                </c:pt>
                <c:pt idx="148">
                  <c:v>0.76900000000000002</c:v>
                </c:pt>
                <c:pt idx="149">
                  <c:v>0.746</c:v>
                </c:pt>
                <c:pt idx="150">
                  <c:v>0.85299999999999998</c:v>
                </c:pt>
                <c:pt idx="151">
                  <c:v>0.68899999999999995</c:v>
                </c:pt>
                <c:pt idx="152">
                  <c:v>0.58199999999999996</c:v>
                </c:pt>
                <c:pt idx="153">
                  <c:v>0.77900000000000003</c:v>
                </c:pt>
                <c:pt idx="154">
                  <c:v>0.94</c:v>
                </c:pt>
                <c:pt idx="155">
                  <c:v>0.94599999999999995</c:v>
                </c:pt>
                <c:pt idx="156">
                  <c:v>0.93799999999999994</c:v>
                </c:pt>
                <c:pt idx="157">
                  <c:v>0.86199999999999999</c:v>
                </c:pt>
                <c:pt idx="158">
                  <c:v>0.74</c:v>
                </c:pt>
                <c:pt idx="159">
                  <c:v>0.621</c:v>
                </c:pt>
                <c:pt idx="160">
                  <c:v>0.76600000000000001</c:v>
                </c:pt>
                <c:pt idx="161">
                  <c:v>0.47</c:v>
                </c:pt>
                <c:pt idx="162">
                  <c:v>0.59499999999999997</c:v>
                </c:pt>
                <c:pt idx="163">
                  <c:v>0.59799999999999998</c:v>
                </c:pt>
              </c:numCache>
            </c:numRef>
          </c:xVal>
          <c:yVal>
            <c:numRef>
              <c:f>'Correlations (help)'!$C$21:$C$213</c:f>
              <c:numCache>
                <c:formatCode>General</c:formatCode>
                <c:ptCount val="193"/>
                <c:pt idx="0">
                  <c:v>0.29419630000000002</c:v>
                </c:pt>
                <c:pt idx="1">
                  <c:v>0.27615731999999998</c:v>
                </c:pt>
                <c:pt idx="2">
                  <c:v>0.51264286000000003</c:v>
                </c:pt>
                <c:pt idx="3">
                  <c:v>0.42390974999999997</c:v>
                </c:pt>
                <c:pt idx="4">
                  <c:v>0.27154650000000002</c:v>
                </c:pt>
                <c:pt idx="5">
                  <c:v>0.34332526000000002</c:v>
                </c:pt>
                <c:pt idx="6">
                  <c:v>0.30892930000000002</c:v>
                </c:pt>
                <c:pt idx="7">
                  <c:v>0.33373155999999998</c:v>
                </c:pt>
                <c:pt idx="8">
                  <c:v>0.34068036000000002</c:v>
                </c:pt>
                <c:pt idx="9">
                  <c:v>0.24383356</c:v>
                </c:pt>
                <c:pt idx="10">
                  <c:v>0.26375556</c:v>
                </c:pt>
                <c:pt idx="11">
                  <c:v>0.39949583999999999</c:v>
                </c:pt>
                <c:pt idx="12">
                  <c:v>0.34395808</c:v>
                </c:pt>
                <c:pt idx="13">
                  <c:v>0.2845992</c:v>
                </c:pt>
                <c:pt idx="14">
                  <c:v>0.42050114</c:v>
                </c:pt>
                <c:pt idx="15">
                  <c:v>0.33030185000000001</c:v>
                </c:pt>
                <c:pt idx="16">
                  <c:v>0.54907360000000005</c:v>
                </c:pt>
                <c:pt idx="17">
                  <c:v>0.51639440000000003</c:v>
                </c:pt>
                <c:pt idx="18">
                  <c:v>0.38201501999999998</c:v>
                </c:pt>
                <c:pt idx="19">
                  <c:v>0.37391287000000001</c:v>
                </c:pt>
                <c:pt idx="20">
                  <c:v>0.37456086</c:v>
                </c:pt>
                <c:pt idx="21">
                  <c:v>0.42176074000000002</c:v>
                </c:pt>
                <c:pt idx="22">
                  <c:v>0.29851684000000001</c:v>
                </c:pt>
                <c:pt idx="23">
                  <c:v>0.42381087000000001</c:v>
                </c:pt>
                <c:pt idx="24">
                  <c:v>0.43034457999999998</c:v>
                </c:pt>
                <c:pt idx="25">
                  <c:v>0.37357685000000002</c:v>
                </c:pt>
                <c:pt idx="26">
                  <c:v>0.43042782000000002</c:v>
                </c:pt>
                <c:pt idx="27">
                  <c:v>0.35743752000000001</c:v>
                </c:pt>
                <c:pt idx="28">
                  <c:v>0.53881924999999997</c:v>
                </c:pt>
                <c:pt idx="29">
                  <c:v>0.45332187000000002</c:v>
                </c:pt>
                <c:pt idx="30">
                  <c:v>0.45829140000000002</c:v>
                </c:pt>
                <c:pt idx="31">
                  <c:v>0.30017322000000002</c:v>
                </c:pt>
                <c:pt idx="32">
                  <c:v>0.31534076</c:v>
                </c:pt>
                <c:pt idx="33">
                  <c:v>0.25870389999999999</c:v>
                </c:pt>
                <c:pt idx="34">
                  <c:v>0.44673239999999997</c:v>
                </c:pt>
                <c:pt idx="35">
                  <c:v>0.29259402000000001</c:v>
                </c:pt>
                <c:pt idx="36">
                  <c:v>0.41586014999999998</c:v>
                </c:pt>
                <c:pt idx="37">
                  <c:v>0.38397565</c:v>
                </c:pt>
                <c:pt idx="38">
                  <c:v>0.44579553999999999</c:v>
                </c:pt>
                <c:pt idx="39">
                  <c:v>0.28482037999999998</c:v>
                </c:pt>
                <c:pt idx="40">
                  <c:v>0.39802377999999999</c:v>
                </c:pt>
                <c:pt idx="41">
                  <c:v>0.38542363000000002</c:v>
                </c:pt>
                <c:pt idx="42">
                  <c:v>0.32252404000000001</c:v>
                </c:pt>
                <c:pt idx="43">
                  <c:v>0.54579794000000004</c:v>
                </c:pt>
                <c:pt idx="44">
                  <c:v>0.31141794</c:v>
                </c:pt>
                <c:pt idx="45">
                  <c:v>0.30706867999999998</c:v>
                </c:pt>
                <c:pt idx="46">
                  <c:v>0.27925923000000002</c:v>
                </c:pt>
                <c:pt idx="47">
                  <c:v>0.31236910000000001</c:v>
                </c:pt>
                <c:pt idx="48">
                  <c:v>0.38024372000000001</c:v>
                </c:pt>
                <c:pt idx="49">
                  <c:v>0.38757205</c:v>
                </c:pt>
                <c:pt idx="50">
                  <c:v>0.34756895999999998</c:v>
                </c:pt>
                <c:pt idx="51">
                  <c:v>0.32433450000000003</c:v>
                </c:pt>
                <c:pt idx="52">
                  <c:v>0.43508595</c:v>
                </c:pt>
                <c:pt idx="53">
                  <c:v>0.33373599999999998</c:v>
                </c:pt>
                <c:pt idx="54">
                  <c:v>0.4381641</c:v>
                </c:pt>
                <c:pt idx="55">
                  <c:v>0.45212682999999998</c:v>
                </c:pt>
                <c:pt idx="56">
                  <c:v>0.29591953999999998</c:v>
                </c:pt>
                <c:pt idx="57">
                  <c:v>0.33435068000000001</c:v>
                </c:pt>
                <c:pt idx="58">
                  <c:v>0.60450804000000002</c:v>
                </c:pt>
                <c:pt idx="59">
                  <c:v>0.46826827999999998</c:v>
                </c:pt>
                <c:pt idx="60">
                  <c:v>0.30222823999999998</c:v>
                </c:pt>
                <c:pt idx="61">
                  <c:v>0.2656501</c:v>
                </c:pt>
                <c:pt idx="62">
                  <c:v>0.25514996000000001</c:v>
                </c:pt>
                <c:pt idx="63">
                  <c:v>0.34894395</c:v>
                </c:pt>
                <c:pt idx="64">
                  <c:v>0.35884795000000003</c:v>
                </c:pt>
                <c:pt idx="65">
                  <c:v>0.29774040000000002</c:v>
                </c:pt>
                <c:pt idx="66">
                  <c:v>0.29912030000000001</c:v>
                </c:pt>
                <c:pt idx="67">
                  <c:v>0.37893850000000001</c:v>
                </c:pt>
                <c:pt idx="68">
                  <c:v>0.33651528000000003</c:v>
                </c:pt>
                <c:pt idx="69">
                  <c:v>0.35275363999999998</c:v>
                </c:pt>
                <c:pt idx="70">
                  <c:v>0.39874472999999999</c:v>
                </c:pt>
                <c:pt idx="71">
                  <c:v>0.32339275000000001</c:v>
                </c:pt>
                <c:pt idx="72">
                  <c:v>0.3365573</c:v>
                </c:pt>
                <c:pt idx="73">
                  <c:v>0.29191532999999997</c:v>
                </c:pt>
                <c:pt idx="74">
                  <c:v>0.38701963</c:v>
                </c:pt>
                <c:pt idx="75">
                  <c:v>0.27832701999999998</c:v>
                </c:pt>
                <c:pt idx="76">
                  <c:v>0.26352527999999997</c:v>
                </c:pt>
                <c:pt idx="77">
                  <c:v>0.38802432999999997</c:v>
                </c:pt>
                <c:pt idx="78">
                  <c:v>0.33675845999999998</c:v>
                </c:pt>
                <c:pt idx="79">
                  <c:v>0.35281137000000001</c:v>
                </c:pt>
                <c:pt idx="80">
                  <c:v>0.44877613</c:v>
                </c:pt>
                <c:pt idx="81">
                  <c:v>0.35265439999999998</c:v>
                </c:pt>
                <c:pt idx="82">
                  <c:v>0.3656239</c:v>
                </c:pt>
                <c:pt idx="83">
                  <c:v>0.34093987999999997</c:v>
                </c:pt>
                <c:pt idx="84">
                  <c:v>0.42533894999999999</c:v>
                </c:pt>
                <c:pt idx="85">
                  <c:v>0.38542736</c:v>
                </c:pt>
                <c:pt idx="86">
                  <c:v>0.40668428000000001</c:v>
                </c:pt>
                <c:pt idx="87">
                  <c:v>0.29285090000000003</c:v>
                </c:pt>
                <c:pt idx="88">
                  <c:v>0.35653594</c:v>
                </c:pt>
                <c:pt idx="89">
                  <c:v>0.34587276</c:v>
                </c:pt>
                <c:pt idx="90">
                  <c:v>0.35482943</c:v>
                </c:pt>
                <c:pt idx="91">
                  <c:v>0.31996748000000003</c:v>
                </c:pt>
                <c:pt idx="92">
                  <c:v>0.36761206000000002</c:v>
                </c:pt>
                <c:pt idx="93">
                  <c:v>0.43454006000000001</c:v>
                </c:pt>
                <c:pt idx="94">
                  <c:v>0.40052038000000001</c:v>
                </c:pt>
                <c:pt idx="95">
                  <c:v>0.25864446000000002</c:v>
                </c:pt>
                <c:pt idx="96">
                  <c:v>0.31416475999999999</c:v>
                </c:pt>
                <c:pt idx="97">
                  <c:v>0.34296975000000002</c:v>
                </c:pt>
                <c:pt idx="98">
                  <c:v>0.39548506999999999</c:v>
                </c:pt>
                <c:pt idx="99">
                  <c:v>0.50263760000000002</c:v>
                </c:pt>
                <c:pt idx="100">
                  <c:v>0.30696869999999998</c:v>
                </c:pt>
                <c:pt idx="101">
                  <c:v>0.59066609999999997</c:v>
                </c:pt>
                <c:pt idx="102">
                  <c:v>0.32361580000000001</c:v>
                </c:pt>
                <c:pt idx="103">
                  <c:v>0.30020264000000002</c:v>
                </c:pt>
                <c:pt idx="104">
                  <c:v>0.25743870000000002</c:v>
                </c:pt>
                <c:pt idx="105">
                  <c:v>0.46156292999999998</c:v>
                </c:pt>
                <c:pt idx="106">
                  <c:v>0.32862564999999999</c:v>
                </c:pt>
                <c:pt idx="107">
                  <c:v>0.35127744</c:v>
                </c:pt>
                <c:pt idx="108">
                  <c:v>0.33505829999999998</c:v>
                </c:pt>
                <c:pt idx="109">
                  <c:v>0.26946252999999998</c:v>
                </c:pt>
                <c:pt idx="110">
                  <c:v>0.29589265999999997</c:v>
                </c:pt>
                <c:pt idx="111">
                  <c:v>0.36381876000000002</c:v>
                </c:pt>
                <c:pt idx="112">
                  <c:v>0.48875666000000001</c:v>
                </c:pt>
                <c:pt idx="113">
                  <c:v>0.44382226000000002</c:v>
                </c:pt>
                <c:pt idx="114">
                  <c:v>0.40657840000000001</c:v>
                </c:pt>
                <c:pt idx="115">
                  <c:v>0.35203487</c:v>
                </c:pt>
                <c:pt idx="116">
                  <c:v>0.28858184999999997</c:v>
                </c:pt>
                <c:pt idx="117">
                  <c:v>0.36252203999999999</c:v>
                </c:pt>
                <c:pt idx="118">
                  <c:v>0.35128385000000001</c:v>
                </c:pt>
                <c:pt idx="119">
                  <c:v>0.48937692999999999</c:v>
                </c:pt>
                <c:pt idx="120">
                  <c:v>0.32303035000000002</c:v>
                </c:pt>
                <c:pt idx="121">
                  <c:v>0.36068243</c:v>
                </c:pt>
                <c:pt idx="122">
                  <c:v>0.43709510000000001</c:v>
                </c:pt>
                <c:pt idx="123">
                  <c:v>0.51225065999999997</c:v>
                </c:pt>
                <c:pt idx="124">
                  <c:v>0.38743453999999999</c:v>
                </c:pt>
                <c:pt idx="125">
                  <c:v>0.40729480000000001</c:v>
                </c:pt>
                <c:pt idx="126">
                  <c:v>0.36157719999999999</c:v>
                </c:pt>
                <c:pt idx="127">
                  <c:v>0.32802890000000001</c:v>
                </c:pt>
                <c:pt idx="128">
                  <c:v>0.32125320000000002</c:v>
                </c:pt>
                <c:pt idx="129">
                  <c:v>0.35690176000000001</c:v>
                </c:pt>
                <c:pt idx="130">
                  <c:v>0.24078926</c:v>
                </c:pt>
                <c:pt idx="131">
                  <c:v>0.24305065000000001</c:v>
                </c:pt>
                <c:pt idx="132">
                  <c:v>0.37054925999999999</c:v>
                </c:pt>
                <c:pt idx="133">
                  <c:v>0.63025719999999996</c:v>
                </c:pt>
                <c:pt idx="134">
                  <c:v>0.32906574</c:v>
                </c:pt>
                <c:pt idx="135">
                  <c:v>0.44047811999999997</c:v>
                </c:pt>
                <c:pt idx="136">
                  <c:v>0.33579419999999999</c:v>
                </c:pt>
                <c:pt idx="137">
                  <c:v>0.37663775999999999</c:v>
                </c:pt>
                <c:pt idx="138">
                  <c:v>0.34242942999999998</c:v>
                </c:pt>
                <c:pt idx="139">
                  <c:v>0.39179897000000002</c:v>
                </c:pt>
                <c:pt idx="140">
                  <c:v>0.31608360000000002</c:v>
                </c:pt>
                <c:pt idx="141">
                  <c:v>0.33824313</c:v>
                </c:pt>
                <c:pt idx="142">
                  <c:v>0.26628074000000002</c:v>
                </c:pt>
                <c:pt idx="143">
                  <c:v>0.33995535999999998</c:v>
                </c:pt>
                <c:pt idx="144">
                  <c:v>0.4049123</c:v>
                </c:pt>
                <c:pt idx="145">
                  <c:v>0.33494889999999999</c:v>
                </c:pt>
                <c:pt idx="146">
                  <c:v>0.28652927</c:v>
                </c:pt>
                <c:pt idx="147">
                  <c:v>0.37858006</c:v>
                </c:pt>
                <c:pt idx="148">
                  <c:v>0.27095764999999999</c:v>
                </c:pt>
                <c:pt idx="149">
                  <c:v>0.33716425</c:v>
                </c:pt>
                <c:pt idx="150">
                  <c:v>0.44467676</c:v>
                </c:pt>
                <c:pt idx="151">
                  <c:v>0.39139032000000001</c:v>
                </c:pt>
                <c:pt idx="152">
                  <c:v>0.42702177000000002</c:v>
                </c:pt>
                <c:pt idx="153">
                  <c:v>0.25627362999999997</c:v>
                </c:pt>
                <c:pt idx="154">
                  <c:v>0.26399003999999998</c:v>
                </c:pt>
                <c:pt idx="155">
                  <c:v>0.32414632999999998</c:v>
                </c:pt>
                <c:pt idx="156">
                  <c:v>0.41818877999999998</c:v>
                </c:pt>
                <c:pt idx="157">
                  <c:v>0.40867536999999998</c:v>
                </c:pt>
                <c:pt idx="158">
                  <c:v>0.34538773</c:v>
                </c:pt>
                <c:pt idx="159">
                  <c:v>0.32317575999999998</c:v>
                </c:pt>
                <c:pt idx="160">
                  <c:v>0.36093006</c:v>
                </c:pt>
                <c:pt idx="161">
                  <c:v>0.36707094000000001</c:v>
                </c:pt>
                <c:pt idx="162">
                  <c:v>0.51484949999999996</c:v>
                </c:pt>
                <c:pt idx="163">
                  <c:v>0.50256449999999997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6B-469A-B5AD-3C617D6D7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740480"/>
        <c:axId val="253740960"/>
      </c:scatterChart>
      <c:valAx>
        <c:axId val="25374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Correlations!$A$5</c:f>
              <c:strCache>
                <c:ptCount val="1"/>
                <c:pt idx="0">
                  <c:v>HDI [0-1]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3740960"/>
        <c:crosses val="autoZero"/>
        <c:crossBetween val="midCat"/>
      </c:valAx>
      <c:valAx>
        <c:axId val="25374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Correlations!$E$5</c:f>
              <c:strCache>
                <c:ptCount val="1"/>
                <c:pt idx="0">
                  <c:v>Gini coefficient [0-1]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3740480"/>
        <c:crosses val="autoZero"/>
        <c:crossBetween val="midCat"/>
      </c:valAx>
      <c:spPr>
        <a:gradFill>
          <a:gsLst>
            <a:gs pos="0">
              <a:schemeClr val="bg1"/>
            </a:gs>
            <a:gs pos="100000">
              <a:schemeClr val="bg1">
                <a:lumMod val="95000"/>
              </a:schemeClr>
            </a:gs>
          </a:gsLst>
          <a:lin ang="5400000" scaled="1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Map of selected coutries with your rating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Map of selected coutries with your rating</a:t>
          </a:r>
        </a:p>
      </cx:txPr>
    </cx:title>
    <cx:plotArea>
      <cx:plotAreaRegion>
        <cx:series layoutId="regionMap" uniqueId="{54A985AD-8100-4ACB-93C8-B371B6485025}">
          <cx:tx>
            <cx:txData>
              <cx:f/>
              <cx:v>Rating</cx:v>
            </cx:txData>
          </cx:tx>
          <cx:spPr>
            <a:ln w="3175">
              <a:solidFill>
                <a:schemeClr val="tx1">
                  <a:alpha val="50000"/>
                </a:schemeClr>
              </a:solidFill>
            </a:ln>
          </cx:spPr>
          <cx:dataId val="0"/>
          <cx:layoutPr>
            <cx:geography viewedRegionType="dataOnly" cultureLanguage="de-DE" cultureRegion="DE" attribution="Unterstützt von Bing">
              <cx:geoCache provider="{E9337A44-BEBE-4D9F-B70C-5C5E7DAFC167}">
                <cx:binary>7H1ZcuM60u5WKs7zTx8CIAigo09HNEgNnuca/MKQbRVncALHhdwV3DXcDfTGbsq2bIvlqrJP64+q
BzvOYBOCBGUmcvgyE/jnTfePm2S5KD90aaKqf9x0f/0RaJ3/488/q5tgmS6qnTS8KbMq+6p3brL0
z+zr1/Bm+edtuWhD5f+JTWT9eRMsSr3s/vjXP+Hd/GV2kN0sdJip03pZ9mfLqk509YOxF4c+3GS1
0qvpPrzTX3/s6kUSLtUfH5ZKh7q/6PPlX39svOaPD3+O3+mbT/2QwMJ0fQtzLbJDMaXU5JZ594P+
+JBkyn8YRngH2avn/H7UhOH7jz5apDD9Feu5W83i9rZcVtWHh/8/m7ix+GfPwypz7r+7k60Wuntx
983+3KTtv/45egDfdfTkGfnHhPnZ0Jj6sk78RRku1jTYAvnxjm0yIrgQG3THdMfi1LaxZa8/7J7g
D0v4sQi8TPJnU0dEfzYyJruc/Xqyr4SsX5NhCzR/F/k7ZfTibhiL/L+T64XaqsSjnZUqwbYtHn42
BB+JndVjG3HrfpivGX8v//fr+Tvi/zRzJP1PA2Ph//fBrxf+ablQcbkMb4I1IbawA+wd0CzcFJht
EB/vWJQTZnP2wBpQSs+1/evW8rL2eT53xIDnQ2MWTM9+PQuOsrJdbFEBUZBxRAh5tKojm2vuMMKF
LUaiv1rG0v87ov80c0T5p4Ex3Y+Ofz3dnTIDP2Wb1pbuEJtyy2L4QcA3xB/RHZsyihGmm3K/f7eQ
v0P5p5kjyj8NjCk//w0k/jwHpf/j7/tGN9PcIcJEpo0eCA+y/czNNMAkU4vYNkIv+5mvWNDLaudx
4oj+j8/H5J+c/3rB/3dd6e26mWyHcmYy09pU+MjaQZYpOCf0nu4j9/4//6fSy/Kn1udl0m9MHpF/
Y2zMgn//Bq7+bFmmC7VNpQ9+j0CCM9u83wIjTsAG4RBlMf4QaY044S5rDaFoslC3a930kh/wMic2
Jo84sTE25oQ7+fWbYVLpn33rt+kiyndAyYObQ+8iW/BFN3QRhF6EIGEyvPZQ1wS/90BfsZ6XufA4
ccSBx+dj6k9+A+qvfLOb5ZoCL4nc24hvvbueD1jQnZCMYaJx+CWXiR/W6fboT80dGzQ+ffTxN9WQ
tQM2GHO61kImWX/0A/ywWs+PHYOXhf/ui6wmjoT/8flY+OVvIPxPkeHW4Lb36HeNhb5K/p0+L+tq
LYP/vfoh1o7gmJjExvcOD8j3Mz+UEPCHKCLmPehpjuHOK8Bbyx+iry9L/3reSPjXj8ey73z59Wb3
oO6W6XVd+tsjviV2GIAL2BJP2M4z4tvgIGEiEIQJLzqjr1rRy/R/NnXEgmcjYy4cXP4GXFjqbXs/
9g5A/bbF7QcmAMbzjAnYAudo5RuhkQN68IqVfIf4jzPHtH8c+Ib0H3896QEb0cGHw8XN8jbbNgJq
I4Yw/g4H0A5DNif8WUbmOQgH67pNF/Hdqv6OJR7PHzFlPDxmzeH+r2eNzCrgyAeIhT7Ml+Ww9LMm
VNvEiawdYlJiMYvcx2qbaAWCaBoQaotRa60cH7yj1bqW6kP9tDBID/5wYS9vmbsv+NIbjZj13deN
uSb//eu5dn4TtMtwWJPsvzfmEEtwE4HJWFuMTWPOd8DQC9uy6QPmBK7u8430ivW8zJ3HiSNuPD4f
U9+Z/3rqPzra23Jl3yOJ+5z+nYz8LI5zhuVN8OFsmdfXSXizlsMtbAFwqUBJmdYaON3cAoBoE8JX
sOsD1DEy6hcVVDfcBH8rons+d7QRng99sxeufv1e2C23jCjhHQ4ek7BB4dz9bCJKBtsRTFhUAPb3
omf78/W8rIjW80bkXz8ek373Nwipz5fl9VZTOoBgg6VGiD+hdc/dWRMSCwh2CBYvUv5uOX/Hi3qc
OKL94/Mx8c/Of73cu0uVLsp4e+qH0h0BmXyO6EM4vSn4HHL5d4wBrfTc8rr/+b8Kiqp+vJKXRf7Z
1BHln42Mae/+Bj7rNFRqu1rHJjtQHgQRNX1IGWwSH3BsgSHlsEa5x1jGaxb0Mg+eZo5Y8DQw5sB0
99dLP+Ds2w3k3hMJb/CADkK9qH+sad+WSQDdQ1YQBrfYvWrfdH0wASBjU+28YgkvC/zjxJG8Pz4f
i/vB75DBLENw7ZZbVjpkpdMpsaE+ZRM3QgCsMkA1+EO0NSpemb1yNS8zYHP2iAubg2NWzM5+veYB
vfiu+n+Dwt1tqh/rvXL32yr3cXbvBDDU2l8kaz383we8ROxABgEJRjcTl6sYCwagcvEBshMjtOc1
S3lZ+TzNHCmep4Gx0jn5DfT/4SLRP4Qe32ZuCd3hnEOcxR4aBTbNLVQSWZaJERcjX/+ny3iZ6A/T
RhR/eDom9+FvQO5ZuVxus1Di3dButs7cicnPYLZ5raBBY4tVWxbbQRwxqId4KIne1DpQrU5NKOgi
gO/c/6w13X1C4HK1nL+RL17PG4n/+vFY/ue/QaZy92a5ZR9nlaq3oA9gVKRuIL6DTAqgP1sXk24S
fbf62UJeVjnreSOirx+Pib57/usdy40yym0B+yDz78Wib6pS2S23LPv0HVCGbslXqfynQvqtyf97
l8DrSH+w0M02sXz6XpryOsKfZMk2Q1nQNhhRAfUOD10Am0AyODmIWBZeJ7fGQPJPV/OyuX2YNrK2
D0/HxvbkN+jEO0+yZrndSiB7B4EPY1H6kDf8JqaCzAo0ipGn3NbzNAosqIUF/VgUXib+s6kjBjwb
GTPh/DcA8c8yaMvYptKxIE3CoecL5Pveg9/08KEezgZIE4q1XnY2z+oUkll/iwfPpo548GxkzIOz
36AvD2DvoN4uF97B/M3jIsZA2nkb6mG55bKF9/qpt+Sv7uqhs/eC6PH5Gt8cuPG/egTH0VIH9/ug
Wkf9/z2ovHKALGpDveeDDdis94S2YOgFswDjeSjfGUGcR+Hy9n5Nyx+t6WVLvDF5ZAc2xsaW4Og3
cInW2Mi2Qi/7HfP55uSgsSn4bs3vtphgvVc/v3B004tgxBvsBzSchz9Egt+WjrHeG+rfQHyIKn/S
OP026r9HzC9uh7GqWkXMi3ir0Rr0bkOxJ3QofYNRWBRzGyLll+s8IVSGnpnw7fZ5FQ/fzxwZ56eB
sWU+/w3KDcdtPFszDmjnvXnp28KHN+iiddPntjjy3tL62lTBeQt++hZtMJzjZDMICzB9MWyAkggo
i4ZeerZuQFprn/vk8F270E8W9HLM8DRzrJNWLVZ3b/mNTvoNav+ft4VsS/pXPcXvDTBvPcjyGcC4
NUa846hv5cJlXEJM8EPM4G1uKWwGi0NVBHu5WoWgHcwQJ4g+HEE0qtF9xXpe1kePE0fq6PH5WBtd
/gbtqJcq1MvbD/twfu9tts0TVsiOsAgn0Jd6/7MJJhkYOpJMAJvMh2Tb6vih+014bxY+LuG8LRX6
ell92P/P/4Pf/ub5W999oxGXvvu6Mddm8tdXvGwcV7Ut3UXfz+b65qjqVwV4z3qutsaL95ay1/qz
EOP99EDQtxmQ95NJX1eAsS7E3JbQv5eZvlbmn0KfbdH+PYp7vJ7gVTp/Iym1NSa8Z+D+ngV+7Dff
Ficg+/PeUP9qbfQIDm+N/O8A9+tM8LM6ta3R/r0c760Qxndjx23xhL5H0+OCmw0eff+ym8dbf9yF
Xkzurgt6NvPHo2tHYDT1Aad4seDmnuG7t3/9AY3hj1cQrd5gA90YH6n6MGG5qPRff2CIwykjqxMg
LcJMhKAWs12uRqAGGY7LQzbcigBYO0E2nLymVgf0wQ1G0IgLLVjcxHAaBrRirbr+q6xeDa2aRS0L
LtcxEbEB+YKh9TeDjHDvZ+qRDA9/f1B1epKFSld//QHvk9+/arVIBr2Nq6O74RgfC1vYxhhwm/xm
cQb4EbwY/U9RF2GhtOc7XhQ0p7HSSSFZExmTLMk7dY+d3DdBv/BhmHzzcXAEtaCWCSc1AikIhm+8
8XE0jSy/jwNHl5n1eRA6vDZZERQyqerskBtWractV2EpsxS31xVJuS8THzdHfdTbZJ6qxBtkWNPo
uPN6P5n4QVULV9R5dGrVlo3cQNuh6XhEpPuVpdPMSVXe7ja1qZQTChoj2dkm/xx7fuZJq/doJxsb
l73jeyiLJMNR+pEGZZpLVEbkNLbL7ES0aQNrKaJQ+nHIGsfSidW4hsXDz6WX+7tw3LGhJKW1EE5l
Re0gvTDPqTRLhYWjYw9fCWKwwul7Fnys4CRj5JgoEYnsVNpxmGkYpjMYmqQuspnBHB7nzZFfJtmn
qvPS/azNozNfsTKaR6S3GidBKq+lbovac8zGwoY06qI4aRqG/QnSPWqWEYsLe6LRoK/8TNDjwAsG
Mu27kn7mVW30sikTbEuR4NZ2jEEVH80WdeHcqNKmkUPs96cs1ip1VY/zzOG5UXyBY1C9T6Hoksw1
KU+YpMqsWumbQ9E7xGzbK8sMKyRxgPgn3DcdkX2n0+s07cN2mlm9DmVdVJXvVCbnjdP5Ap22hp+S
uaVpRV02oPo0aoltyKKtU+2QOuSG1MxqzFnb2XXtqLbk+yC1uSl52YsLznGQg7xwOkhf5aqRtsHs
q6CzLSxTja2FkVYGdpIhIv7EjvugnKqyL076VjfXUdnWlqzFoGuZhXVHndSqmkJaJseXgHeWgxMP
HZ82RTEEM+23velkbdtf6rxVwHNlRbmE8/qa48YLkkFWTVoWjhdk1KWGYFNlZ6ibEW0BIJqbmZpY
WLdujFuWHPAyaIWDS27f+pERIdknvXmhfFyFrhmU5TDp86Yy58gsq0mAkqb+bLU0tiXuAxxJAveh
4UkSs/bKD7qukF5nk0qWWWlqxy9Y6Eur7jGVntWKdDftKyvZta2kDxwQE+OaRzYLXGwYlV5JnUdl
pcMAOBt4kXZj3ldEdijJM1kHRnFOSgrKgZRdoKaIdFYywbGFO8djym9lVbTdNW+FFTtFEetY5hSX
8aQZSJHJwggrLM28j2NZo7hKJZxx2H4VdZSnsuUJ7GZYxgUlXVvM7TCo2AQuNLGIzIw+D5zW7IXh
sDTRaIpFW1/ATRNESFBdZTaBs+LiQ0aznMjY6PhR2ikjmAQDLW4H0tSDgzxU25IXIusnJYMTXXI4
RzyEN/UzNgl4m1y1vdaZxHXula4XhsyfWINPli2hqT6M8p5V0y4vq2w2BCike8IY/IsgafN2gjtV
qikNC32TBIOtnbpJTXKo+younKxreCuTMqh9SaphKKVlJ/bVYBuldklU4mNts/4jCyvzIk8adeaL
IK4cs0yaEyoSiiZDwXHh0piw1H0OY28Ygpss78vQDx4u6nv881+H69v/7ozx0/PVVX9Pfx3nS3Wu
oRFcHy7y8StXlvrxpU81sisL+VhCO7K3m1UFbxl8naWGE+sQZCe+b61friJZmcOHqQ92m+yYBCwV
HMbDGBhoW6ztNjbhSikCvROmSbCgfHWn0ZPdJqt7jhiloApNTMDAPdhtKG6DlgyLgU1nBDyBN5lt
OAFiZLhXVb3W6myI1QkFcKceeBXPLanZ2wUOdJc4BssaPjf7AB1EPQYlcxT4/efIj2QQVb0zUH6F
qvxzEBi7tt3ai8Ew+pkKylvqg5FreH1i2YKmsrJpNicpkz0tPVCIX4hv4Gkaoxn30CnqK5fQ4oRa
7HNOc+s4a3XwlaoilmVZ7MZBKUOaT82uOsqSr4R0Ms2TypskpgjPtWbZ8RDsmfFu1cfpeRzQOJdp
RGU0pI6R+VJYfXyWFeUkqDBonnSW2dGx32lXoE5L1GV42nNjOAz6UByGqQLLaTWlE5iqklpdJln5
sUiHQx3Hh6gN/NnQ2zJUxjSylZOGrJd1psgENnLsdllmH1Ma4EPm9zNTxbupaJxUe7t1mVxqn4hZ
ZWEnDK0booGAXlki6ad+dFxlxVIIn8m0GpzGKx0D6fxAF/VByrLbIES3BTfmOQUrEJnpJ9aYk5SH
6AIsB5nWPs9lq6xzgsBVqGtD9mlpTJOu/VQWxOn94aKI8yUJjObASNRFnLEvQ8r2aNr5UxLhW9Wl
ToRI4Ha9capCbz9TopFd6fdS5UnkeGkijvyQWK72VDSt89Bt86VXmm6Vf83MchpqVi1TZJhu4QWd
HKricIDJKEmDCwIWTBKrMiespljqErROh9UtS8tY2m3EzgKcXATlWQJKXXqJl0kdFt152HHmJKK6
YJgsdNLIxIqmXWa0MiphqSnSw1REYeqQbMgl5X0ujbA8qkqsj5k1WG7T62YWpg2aeMjOYam+7eDa
nwdlYk+CKJ6QTIM3VBiFzFkqnNBM0KxrwXvpoPtJ2oIVE2waXBoqU9IsajBZbXDVhyDRxGgSmbfs
hBr+pPMbvm9wg090oaQPX3iC8IAlNAhq2AWp5aZZ5DtZnl6DDdxt0VDN47yceyE/Yv1wXINzKhFu
Zn1BPenX3ryN/FDaHXOi0K6cMg3ATuaxNHF2nTHFXUs3uSwHxR1wCTz4Wo1nf8G8+sICIwslE34U
SeyX9czrToOMnUZV9alNSCo9ZIHBqPd7j8xAzN3SLLBjsejCtkgP+yMprqM2tCXLBtv1qWF9MQID
fNfMmnSFcY4i0mgpjLrDUsS6cXMMHDCM9IRmx0ngfcmSSnoi3+NqGg2f6hi7Iggmwkt3UVRjtzJY
cESD4bRKrH7uceQdR+Uczl9XjqiH3V6FE1OUqSzTbGmUVkIl8GPCqtwhRFz5zHRM2LmIGqkMwy+0
CUFJ+VkvgSmlY5uxNYHDuNxY48KJrK6fgxHM55Sy9oSklM2yLvfdtCqSGWnQeaLsSS1M2QXBXIHr
PjFL9tUayKHAmX8UR8OC9h47CnIqHC874rFvyTSBt7b90rVaf9pFYs9rDkIfk7kZmWoSpSk6q4fC
kF1k5FJlVnxQxa0nSwpbTHTCjX2ym1mNJZu2vimSRNaWEU/zks5sUWSOgsY78DcRh9/ymx4HxOV1
pWViLpsy3KuD4CSAZczjPssc3C2EDtQkTBMH4hjzGJLsroWMfS9oHR2mUoha0qyELeMrDTKLZobo
rlCBEsnx0AWScD0v8gJkBdu1jBISO1bVfuLRcBC1RSrrwVSyH9he5xWfSRfMzMHwnSHqzxrwdSci
Nua2AucSnob7KsMzbnctuJoVdZLYOOCJlhUtWhe81eHKjI09TdhVn6b7nemHR2WqogmjaTuBq3u/
oJC5VHcHfmI0Tm91N8I3ZWxlU/DjJbeGQyMIUpcmOYN78Ojc19VJWLfhyv1JnbxuLkyvkW0xOLl9
5edIySAv6CGzZ2wwPncBI07QDfPC6GRgVgte8JkumosOxZL33ScjE83ELLovfd0cRmHh8j4Bp90v
3CEwxKHP2voosZSxZ3DtDmHUya5RytVFG06oUuoma5AhvbbxYbu2i3DwA4eL4ZRVVe8y1EyA6l9R
Q/S+VyjsZgzfVB2EMLb/sfX76JCYcXcVFnE6tSP7k4LTc2XWeSd2c2FQ39qrMfjHXtGHe15uMzkk
hT7hbXBupYE9NUPhu73w1W4nGHAxqMC59cVEWWAKbbs4tkoIQLrrhOrajfz0CxPg0TP2Ram8mVlh
bU/5MNHabCBiqJhrmOFRiPITZFT7YWZ/9XOIwEy7QVIJay+MQJ5FIUI3jhrLYXlzk4c9lWEutGOY
waXPNJoVtn3Tgy89FbS3zk2zK059CyxqjfpV/Ku5vxvrwnKJlxuXiQ6rSa0QQAMQ2roRZeGkXEma
sIL8I0KWPqy8uD6hpgHRY5gWR7YXl2ddEBlHfhrS3QxCmVO/5cFXD+vkQNu9OikSTwX7geFXMyE0
+xygLkilXQ/WAaqqYZoGffApx5TtiiIfnGIYyLWoPO8gATMCLkVsOFXfgbSSAOL1NgGCqfqTz/1s
URaGtVcQ4U0KZNd7VdCZk47G8RlvMu36ytSdY6oknVc4Ss7iwcPH3DDCvaThboRV79CkpPM61PlU
hGaZSxJk1VfBM+GYdaQci3vxwraizi1wRfesNK2OdVri/YH0C0N4+jYWsQ86Ji0uRF3VLigKULtd
uRfZfesWKmpPTX8IJq2Zejd11wKwUcHZMbtFr5kb6cL0JcWVOjTbIN8nMYSAFi3MY3NIgj0fdjXo
9bLUJzQNi0OzsjtHJcmU1gvKISbzBRgnlepkUmTBcYqD+riLOI0nZWEXoUvLsjxtO2HsVbkeZFdj
OkND0DYysq32SER5IY3YqxwxhP6e4Vu+kFEoAJaJvC4DdINmkzoJ7c+687vjIC4WWojGTXrdXrcU
0AjwHTOIlnvagB9G2shNbGWf2VE+7GHmFWdhDS6dbmP6JS5wmknQilUiQ2OY+UEW7rPAtB2VHXks
3vd4NSWea4MNE9WiQZ05q3V6A6GyY/S228b2PutLRyic7Crd6Msw6Y4SIDHl7VWUJvtGT8BQJ+0u
LtvouK5TgBm0b4FLloNSoneE1dJLzZmHE+zq0jzIAtaBUsF7uW6VbMv4gFeRyzqdnbIsq/fzZJhY
SXVWE0AoGojUeAVym4CVGIK6nbVRcmt3CDt1x5LL3ms+Vt5QOyQmvtRDkE7qNJgTpfxplon9zEdq
WuQ4OzZEdghAxhzuObks4rgW4FsV513bTuLGPhXBfothEw6eoRy4elJWSplHVhXYMhX5NOXdSVFo
iB8PURaDH9p6bhHCRg6NJHMqYmSXFFAmP0OOhfvdOqxlbrJpnuThzDPCs9avLNnafjf1W3MvDb2P
w6Azl+XakAC+pXusgzi6qTNx2vl1OrGxN7Nic8Jp8JHYZXHAWtCVOeAUkaxV/xmCis9gpPcjO+/c
WtM55l8LuNfgmOHY3+2yCkQfXrswFLcBBwMrEbaVW3a9W9r6xi/QsFeLiy72D7LWmKbEriaiq9q5
NkxJQjoJ6s7M4JunciCRjKtPnVCBE4IvmFTChbjuBHeDck0IadKsOPZ4u8c0ayUtvHApWkuADxQd
FnplXPRHFBTGwQpKUDQcJnXr5TLyD2l1SSqeSRE2h6aOD3pr2CNDrZwhS0KJk/hcUCNwhN7rC4gy
WKZchcRegnqwj+YdDJfUrURt113FZRHOLHPYRwmgdUaaO4B8wEdpoSZlGcTTOG0C2VG1ZzXge4Pt
MnxbFrCJJ7ldybAqOzAM8BZGB7hhCRCiUvZRlcDHW8NxNfBUMgXLFHrqUyv8FIcROQCcC/Cpt2MH
P0QFnoMC30cZfkfsYHWV6PeRg2f3Kj1lBuDKFKh1vIP6baiN54DXm2CQOCN0BX/fQ/0Ubj+26Opk
X7gNisHpajDyABnAlROre8EtJmy4wRGABni7NWQApa9w0wcDPAE6dQGr52+B+gmFpMVzsN9EFqwB
kAsCsIEJNyiYm5hBn9PAJzU4yLjS4GrWXT/Rqa+kyJLypshz4XR5m86DKEWnvfByhxYGmURmlLoB
SiOniYd0Unkl7NSS4xkgJPyjwMk1rQY9G1DbuiT3iRS+XoSpvciZ9zErrS8DuNVBQdiU0/ArwfaF
2atW2kGiJApyLXFJckerAx1Qscd6/4wZ/NYCl0dWVl7sdkPBQK0EzLV5B2EUTox9JfpSFoF3XXSi
/aIR4PfdEISgKsPeyf2oloNvskONPPDewNFwlW+msklxDUmlLIbvWeWyV+BhcB+ZbpCl1rHpmWLu
2W13IMq2ciCzELmVVjNG+kuuvCs/bfRejOPTwCOJL01YpSNoU8wi2sd7tSF8CckB20lrdAWA0ikO
om7WqOKGBV2yJzSoxbTKJh3y9nnQldLzCZ+qLL2mYUtmoRaVo0q/mEZYeLKt7GFqDmBegDmFLAAH
Bp3j106WUhO+El+02sYQoITajexA73Vd6u9Xml/lVek7HSvxdWZGXep6JaNzC6flfhANFQQpGZZ+
yy6VCeG6MtL+EKy24eTYjJyI4NhBRllCeDDsptw4aAHNnyZFWRy1WY9czSFGDnswrgKrs8DqADMe
ROXmyk4lDvFhQqsIFgqQSRmCXSq6KnVoXn6EuJWtfGMO/wGkPRTFJYnAe4dsELitNf1o19mF2Xjc
4bQb3CRoPua51tMY9Ye0rZDT5l19hL2wkKXuuQOUzmUS9AisWz8PPR+wbi/1ZYCaT7rNIPrGxXmF
Ck/2VXOoIa8kM6UyiB5TkN68n+aKTOlqBRFPFl7uSe2hA1poS0YoDQHDDo6GxkvcysPXZu9DEFpE
QL08m+aW+aW2ySBj8HNQCvEOaIL9RMeQfvB7Df43ui4bAN8TNRwbvrocuD2NMzuQuDNWsdanpDC8
qfbsbtpTXkx0gysAHrrSKbHCk5TU5UWbm3NOAiZLz7r1W5o4mWo/2ZVlOVFmGrsBBCYy4RHYxLL+
UhL/Ig8675waRTMP/YhMSBDMOBG221t4D1d8jghX0oDIZDcrGO5g5SGahplWE5FYpazyrto1wXhJ
HpZfKpaALwBHp8q+ZN48qnsImXSzZzZ1N2802TUjzueiJ7OcqmgGCaj0k6nLaw3hvYtUVrvZigl+
QNqpbRT9NGz4lVn7N7wpLhuSYsjC+b3LE1M5FawJzPggZqjObCdgsM6kSY5y0QXOYAGhs4rtxzUS
uw3Oh4Mu8PO9SuHBVQDaQiCSCQlhbyMzFF6BTgicYBUXBh02Ia0Rfyp5mUxDK0Yuq9pzQqMvYdhO
9JAPLscNmRmkTFwvAOimQX2yC7oRz6wqY05G+eCItAgaF+6i4VNu6CPIB016uA3Q0QNkJrnKyZyG
dQjuW5JKgD4IUC22zgBppBdMAQoU+23i1kOCICgC7e8i1O+nRO9WES5hq9nhBGLBQeK4UpO6CU8B
U97HqgWtYoRg4RdWO3RnhZ/seiTHjpEwSFGkAyCmg8lki/WR8Pvr0mvjmaEHmzvU824DgAFBZcC/
IbsUIqohG9SC+PmehtzpcFkrdt146UHSQC6pyMDLyKKCTD2v+JS0InZVC1hLLPxJWpjXgBGSWcLs
wqmSyJt6EezOUncQvdb9fsQM6rZtI2D7wHoQhAOAmLFlXNamNJO4AMe+Oexwd5v1ENRHYSJJW2W7
xA/ZhHkt/xuuyUWWwj/jTMXrfJKNV82W2ap7oRq/1e/ouJiQnfi+47JZ2nuX6lhNeEh0wLmMgoFD
wAXmUAFgg9vwUKCwqh2CO/tgG1kYfrHBNVknOjicp0kx5dbqUj+oQ4C3W3stK2cHDs0HhwUgWPBe
0Fu8FgTJ75HbAhAsRcyGkofVJ8GptZtuS5ZFVa2EAAHkxpXXzVCRnAfeoOdVltA5wYlyep2aU151
rom9o4YG5pylQ+FGLCBTliHqxArUURSnlx7u7SlrB2tSsyiVRtua0lMZAZxwaCc18slhTrCG8Mn+
/9ydWY+sPLidfxGRmc0tQ83VQ/XcN6j3hAfA2GDA/PqsOkdRTqQoSm5z9Un766mq4B3Wepb5CSkX
T6lIh1Oy3TuEUrDq2+TLLfGfOd13tv4xY9BCEKH2DJ5gewpoqE90rkO4uhA2Au551YAWCnCArtkJ
s2HztDZqLcIpDvabqI/TAIkPJ9lBpM6+hetZPqDGcUwhnr/K3Asmb88Sb6hq63u72fPC65pgKiMe
mnLO+k2VNa3TXdvW3R6imbyhspK1sJmgr9ildUWmUVa6I/R9nWl9QAGM/DIc+bzkJuFQIxNuYUB6
QQegQHmvAw2xaq9GQ+MImvlDjitaLa+nBW07Dg/UGoqXkzbYQrQl23FIM+8VakB9fzuxMENmYWFl
yRSTql+3us+7aKnP3GN+qZPaZ4VPwAGkTQJFDFxAVzZjHK25x3r1mbF536fKq5hyw/cm4X54vmuw
/4jIG/NkTuVL1MxRnXtqs1CkaBecHBGQ0jy8UJFvNcciF2XQWua2c0W6cV7VEz66iCeS5Klp6raw
/oYFbqB+VzibBh+zW+1RMNcdtdTusA7t79CFf1ULU4lvSdWCXfjXtlmcSwbSolBC6OuyYZkbnv3m
IPypK1cZi0Lpdi4YuIm8tlY0ecqs+3Q+G88rYm4/niVnH97ENqzw6PkY7jcNwZpCf7ujPcdxjn9r
Pew9z/ta0+0IseSXks2jNNu+X8mh87ubyVK8AAwclW5c8mSDzP8LESCC87+Zk4nx6SUNi8p1ImtO
W78MGjlUiZ7PAYadvfW77CnqppJqyFOxqVx9yHhqL80Qdnvqe7rsY/ML8NFh60PyA5Uo4oVgptly
rC8cvZz0xwgF4CHZ+vsYYgP37gKLHweF1NthNGwvbbKaikj9DCF/KOgy0Fenx+55dRbKzhzT3J8X
7zBFcn7ITNrlOAohrJooZUWfMHeWvUzztdlnmGSP66KaSgScVK1o1zejG5mLeOIXO7QpJC1SH5Ox
bY5B3dLP2VPhdZmVx3Jhh/saPryJ3nylNptyDP5JU0yigcU5J2nZk8QrwCvAiRCfWH5UHhrt7zMR
0rKLgAl0sXqbN8y/pG+aow1qDf+lwTg2BSZfw5hfUj3/dq2FT+kM/q5agK+wjqBUjGSmhYpqaJO4
ryduItA2BBqFws4RtCq5hlPT3DbMXpd49MihtXF/kSxLvjBivHgsSItRiRfO+pM3hCRvcFR9EWaw
lMJpZreljQl066E/xnHyCD9wrxhetZxcXsugGKbrFjJehmuanKld9BVeIu7hF2W6rBLR3bWqG8Ar
8l+8CVhh3tKXcg7ILoaA+lhrcrFkSfYkiNZjuKXpjYc+ZH6U6dOA2o9rMGqqWHYpVJS7epegzjZe
4XpZLctQCPjSiQqumc/3mvb7litUiGQ+0j681hPut3H5DRs9LKIs3rlF6LyzzVYXWz2Xfcou8fDM
gITl2WiqzWayaniXFiuVyaU2cRk6/6+miwcjKjvNzkAf7JemnFk7vJm+0TlU0Vs3dPw567d41/qy
PQ013XbAZNSfeIWT2w5yuSuo4kDmfniNial4v5ZcJrxgJiw82727qN9yA2FdxvGpn9tq6/0v5xOU
Cpqep9aLCqJArAXRmB3X2Ic6FSf8lXVrW+dQ6KajjrvTiqkWozKtgoUMBZF9PRUpjVwZzOnb2vf4
8ZR7FcA5fAZSrIWyI8P731+DceGFlG19iOItKUL3Z/TFsid26Pa46dYDD7ePebYBukPclIvT9iPO
unIO1RxjQxwXXMTZ/CRM9xM3ttk5NQ2VmCeOITguzLysJ1b3MBswwroMRM60BQ/O+YcJCMATnH/3
VGsuC/g1j91GX2jNztJX+MMw7Kcjf8JW8bWEK6+GiTnogpp/xo3CcscBcAFIk2B3hiJIsZ8FFhdP
OE7zYwLsKGdOl9GmKvAD4QMOLAv3bgm3ayb89X1u9HRosYfSRch9zESLy4PYkgWDPYWMVH4L78le
HB2TXPRamJzRwd/XLgtypkeVD2jBjVAHBuElF93wOY8uyL1peOlGQ0+9SzcsjOibjVnr42L4uFe2
q1HDzVK2on/uMZTjYWTTqQn7fafG9jAPIzlNboteJ/9hDsSC2X5O4HhtU8UiQSpFaHQZxddGe690
pE5h9qjpFk5efKgdri0zeR9slKzERegfUk2yJysdR3mYhiN6RHRoUUIK1QTZjvQDZwVeQrJPlqXW
hWeIyWFnC3z3jNmaduUW2yvp8NFYk2Kn5vswmSodjTTvfLiDUP+zpvtjgrTUY4u+werfLd6L3NLp
q20GfK1YlwLQSr1LNl5/am9ebg2UyWstSFwknfP3W8bWy0Sg1ZA50d9MmbnOu83UVYpBDCsMyk25
UX7AZgILD2TUXVPqUL/tDmX9Y9HTzsFwctw7b4O4rPKz6dAwxSdkkYckbh+1g72xqn0sBG42Ft4S
H5th+LEq99KL+LmRv7IOrnjWwmrMvoFOlL68ZjUv0/Aolf0MLJrrPJbzpB4jGx50B39Egr9ieqUV
cQJ1MZxuS72Sk+5hm/uQYHhqjoloPiJ4ViUnyU3PbDqwJYMhYcIntTZoVary5pBgS5/Hig/7cMl2
KmlPEf8ECrCzsML3S9f/yLV9JKBX2iF48bLlcyDsFEf2YZyiR6P004QLZlv4ArgiU+UYbmM1ptxU
9aIgEJP46GFsLXrf8bKe6yzHw8ybh5Y1h20IAEZ4+IzoPBRt139jw5Q54/Tbk0tQjSMuFzqhPcyK
0lzjXltzSdJuh06m8lkCw6nDJj4KnQSHRfZ72ZOvTQ+w82N/K2pYmDr1+CFKer+0HnwovUYvtsVH
KYmzVRpyfRsMflaih+Y398w3Y7OooMShYxsZn2PgNfvMThQKtCsSZuodN+zaOe8vy9KrgRUBGaAv
Q23+OJZdXaBzbPclnPGdnDCC6TCqQm7GIrz/Wak2nxjY8DNgVwy65BQTk7cy99n6Ez5HMXefuNDu
hsvw0crlwdLkd2/JS4c15sEj7V9MZ8NJAdL6DE343EGJL5I2yBfGAIfCkPWf6TziUgKT8eiPy00z
IAF1vzcoBiNQBbyJQHbitd87/KIDASv44+ZGvGRtsx65+GtVVAQd3dVu6q8bfPQdgJXCRqP7JhHr
rnSWQW4gqT52LaDHbuv0DffUE+3aP4svKgUEACt0R46zk2sFEdhr8xk8WWlomFzCGlSthZxbwQY8
q3GEuNRG6cvkUUbyWDpIknxIf+FhibRgapGXWgtWNg0avHYpmB0NC5zNPYq50raEARHmoNTbHPMU
BF/JeaGS5JG4zVW1bDBiNOw4q2C4KCWDB2xKtoJQ+mXr+pbQhH/Vhl1SdPppmLOKDZjCIeDqcwe2
bIeObIpI4m/0VciAx9roJ1RDcOgWcLxpHXhHRT2UXj/0UQ6bGf8IdOHcYG/wggh9P/Gj7hxk7Qwv
W4rKT1WHDSq2J4DP5mVl2wi8FsQLidLu1XO+LJNUdxO4LLwdfdpkR3RLfSYma3YcT3TLYcBkFWRa
bgFAZN904M1uagL4YKjp+22JFKgcMYKkoDPkUKVKmSl7GlooFDoKfvxhyf443B9zLhtx61tNKqGF
gLI6kXwh7ItRGe68pPGPOC2nP3XKbuDEUmuOxjT+2+onW2mjXuEizczvoJ71To7u3A+guvNe+tmb
sejDc+YlRUSmFL5SwEpFO1dRusFL6mZXWPxV7x7O2lbFouP0cWUoScHipweZjtHBJgtU7cGvvQOe
L1UXy+Q+Frf6ZZMOUYt3tbWPIhvcoZHrF9u6ti91RgU0Su30NXZJ/WikDCrTpm7vUCmraQBlJy0M
NH8b9N6NW/idLfBqbTItJ19gGChohErc6oAUmYHL7ElQLnOylNPWzzvbj/o0ZnCWM7CF52Dc3lJf
ko9lDvwiHu3yvmHcfl9dA013syZHde/2Pu27Q9r00LcZb29kjectd40mIDHsCEWxX8Hu1iO06hoI
nxX+o84Cd7+OzD8AG0uhMxlcTTjtud/f1uyj7ZkHkK17T2HY/visqyuZag+dvA4OAQi7HMT776wf
o/3immzIa1cv+dCwYZ+SNQRLGddFMvrRE+fxl868+A30iIHN0Lf5hPvsA1Q8Fps46S910617KIgm
bxIvvkqmX4WB822WKD7iCcodrtbua+pwfdUw8ZwR4ylpbQsfBqO8M4Seg/sducrsXfqDfLYhWXdE
Q7IcIv4UNuO/fp0w2oVdf1FpvF6xncPsnf2smmz/OcdjDQ22YZdhllPZB8uGctQs55SgbwMFEXPV
ybjmudrEG1Fugz8uCPosZv3RG5Y9OsjGsrWgcxA9LL6pP6lV+jDHU1LxuY53GSipnCxpekixGBZp
ynx4xVmO57hOJ8/Ha6nnZDrNURgfa8iKz2GTuYNOZ6CcDtNu2est/gx05p6VL4IbBrX4V0jN9LAS
ONEYAsPlUaOmoxKx6I/XgxQLu/nYhIOudF13z13ym+lDw4cnWLa/myUrO30M9I2pqaDJIZz6Xw49
/dRtFo4oOL5Dlo56B0AQxkywCO+S6dh7bgMVI8Uh5/cwQqv1dNP/xhW5Qkgw3qGjc3PxLC8jT2w3
0YXNJ954cV7DVP6N6mgtnAcMjMqsfW1jh8IqAuDtZHsNph7rQluv76zzs89+gcuRLYH+WmfeH0Hy
iW8TWYpRqvZRdmYDud9LO3Vw1i8BezZw1nX7R4GW5MUUR2REWfI3WRjrLKk8AIKwjGi4sa8uFAlQ
8mY6TyxsgiqhHvH3kxnB3kdr5IG58e973WyazyhqPIn5v7Vfzao7AFdkVbc+6dWTxGvctzgcOi1i
ZHIuLoyWFJyU9h8HjH5HHna6zR3VHcNyzvxrsA7hR8JF97C2AN+LzI+8LG/biBmEMurlxcLF38oQ
v5JVSicPhPvtuzf40RHY6XbrxhGbqZ+2w9GE4GjKlen6lS0hRpdFq/Qp2mT8t7ZsLVuMxGhiVIli
GSXc7zkW6TmNYr5XgXXD3Z+hJRbR4FfcpogWrLW3k7rBCq2Dobr7lqXztxTLAiyFUIBcWVI1nchg
U55D0dDynMhFeQVW+OxXk21PXa2DNyWxW3S9Hs+BqSHZYLXK0eaytKyhhcGcoIkpuXbYqv12G/dB
TX9i4KKzzRRsLEVQ7fuuiCAEnJglcxG2arg2g1iPsZ1Pq8DCJGBfsvAVWHER6cDlIzy/CeuIbcb6
2dbpcIgwexW6V2NhR4PNfQPIlhlTOrrtTXQdOiIL3qJD1sEzXsUxiKfPCMQZd1ElLGWlTfSRmh5W
0f0y+NTLXIjU33fZUtg6KSiniA49NBhdb46mY4n8UR6LLQPDLQvgpWelQ1HEvEWLWThQOML6rjKz
ANn5LtvkeXBbGXTLjjv6GpGu4rqei2U9LO1fOaKhzREMXp7c4m1Ur9gM5z1Z6T+Shj2CNVhuZxrD
abMhhzQy6+2csCQ5ZVYmBRdiR0nze2nY39B37hJxeYhdvBQI0KnCIVSU86h9h3qBjAmExVzUEcsz
6vbxyvs9cP1zTyh2RRafaRj/puN9pps5K/uIZpjgSdHeV88IPeFZIhJViJ78BZxFilTx7oYOXKWD
WwtfQAhMYVF48QC9I4BiyaJghyHqsbsXvLgVsgBCAhur9yN4spjzSEx/wkGWXAQ7qHtVlxmW002C
1wBGqoClrkNdWolFu4lvcT+XyMNV3cKKmo9/gjV93Kh/zbDG2yF76+tNFJ6I2M1gBdzhAv2Bnw5b
B9ej8v0Rv849qAYu/gwzKiIOV0UvCh7+He2zF7hdtAwwpRuCqZeuVRuqKkvISwR4izLwpGN8XrPm
O6UHzW2xaeDbafa6eXdtjJ79O0IIHFjCrTPpcN7oLMqY0bd6iG/a8xuQ/4jRTN4jjo3aW7X+ECav
jcArngKE2tKkisDmgdvKMTfs1haOGuseRH0xDPz5yOvT0pobJtUHGUEkVm0iqr6mX5rHSwmCHzW9
uc29hYnEM5BFdXB0TrFc0brkSzwVQQQvSnv7XiD2JA28ywwrTK6Mjo7o+u8CCEMN5bGc1/EiyHCD
s9y0wdHH3o8dsVQkVjkWPGDlcDhyGM+QuKMQV2NXNXN6glQT5ZFJUX6QAlReLw9TM52S7I75kDrG
tKSK0BOo16BhqTosaX9JSHdw4ROUR4z9y7obFLpJDfvN3fNiPd4aaGDTqZXYbxNQCNMIZqBd+vVg
QMe7gUDBWtO4gPj3BEBoN8oJ91qcFtMM3h8aRA6h7DgDyYPafttCsk+0VzbJz7JQLHqmRjPP/qQK
+LSQgJLl38HUEOyjbbqSPiDPZnRzmbIBpVXPQCEEbd6zLohKFQX8MNS2x7UcDTn2oJ82sLhtGK5u
5V2TDgWvXUVO57k0TVVvkNhsf2Jag2yNvox592lTzFn2SLKg0DzbpToaitkCi2tL4yM9Fr3U/JJx
Wiqg0vkSgesbTtnil4v+GPy/iEv8YDhHnMxHGMQb6ZPsw/rYxOsZGARueG238zpHZVqTp27SVxFD
ckWR/9WT9REbyLFbFkQmzYW4jywYb73O0Cs3JL2WESPBGMoPwcWeYU1JBnwoAxuLtjYnbic03NV7
84Ir9wZ4GmthiD2TLs5pt5WbaIuATGXcXZzsjx6nh95szdng6xZ7DP0VMcGnrnE7Ne89c4mgU2EI
ik406/d1+wbdIZf1m14e5gQVJd1e/ABsOXQRnu1n6KLDBD4CqRUDkWUlKeIc9ApLJWf2LPQHSlGO
mSOHBpHXzMDEuHFMpGu0lC5xRbCFT0n8Bgq98IOv2P2S4xvsFix7WAfRD0bUXbWtZzMVfTrsRvo5
Eq+YBr/woXeQ+7Aw9Q+TB83Nylz2qGnYJz9WD+AFVe15IxYIDnKfr2PkwtI2SlYB3JqiDejrzLJo
16/BLUqtu+rRYA8JalVs099oTU+dVMg82scWKx5IWiNP0QCvAfNL6THqn1W9vA7D+KCFdwQhd7+q
e3xkDIlFRacRPIDaLhGSeVvYhKWw6YHdyZ6gRvlz9FlsUVIlnltAUU/Y71zSnAPffvdxyBvoZTa9
ht30SpaoOdApdhfIWVH7HLbTX7QgqB8pJpmI2Qti2iQX8l7JAZg8IgK57pcxG4pNQvhA+YWj8QnO
BKGObhufF/KWev2DBD3YLiHuZRYmj3zLkiPSeJBw7UskoQ4nWGu0RutYN7/c6uZzmiIHUjLeYbaG
Xzd/DoPL4Ymmu1GpSxA8bQadNthLLt1hBKK7w9mHS+Wv6Svb0Gqy8IwUw+MwvC9mhsLdvUovRep0
KgFV07wn/mkR0W7p4LD123+IpoFrTnxplkPc0noHKVwcwIsOkAC34RqRNQHlPVw5ARY7DiUj7DZA
yIXM0sx51mfP3QZ0ySzxiu/FKOZBcSfhcEjrDppStiA0gxUpJxI+xzhi0nKZaK9NfRZBbA/t7Brs
IbU+ZFaZZz9LPwVv+HEctSh9w7PHPq3rE09lwfAuFHE6pNdMI67K1SNjOx12cEt9+kvh2wBEt2Tv
zbIuXIq0aI732D/00Fb3frYkCAFl5qASjgEIF2HKFTAwEDlIE3/FmA1l5rEDhoep8lI35vAP2mLN
5nWnKYajZaoIBgtqp4cGQ/OrS/oUrVpgDk27G2IkP90S7REBuiwJ5fst6j9c6z1ASniTsTx48Xrw
B/q8iQYRLGKhWIGIDub4tDH6HGKssyO82hYJJTaFHGzF9NZpBPcB6xXhNkUQf/lUdFIvVx8MShVH
y1wF8/qPYYTON0HNYVPyF3M1JsQY/WqWmKss4T+C/qSbfk5jLiE54HYi7sqb6A0o1dWD/L7nIaam
Jor8HXb5o251fOxWJNPFELHCDPqlXhBJgh+xtadxkt0+G9nvlsLKY9AKfHTChrxslB37DTa86jAJ
E4erTSBzRVdc3TVSw428eGDlUGIWeAid17NTMosTJLZ6t6jZ7WddJ2XWjgjCROFebVvBEoOvcapI
ErscudJesbUbeWs6ipz+kjzMhGC6SUAm3jeUmdU+oGcA6DO81oLTu+Wmn9FpOYIkAUc8SSd73S9/
BwuJwiZCFbUM/d02NqIw0tcViHTzINvwEQmJ6Yg/jYEno91xMkN3anSIegPQrKwt0hjhGKaHxJ++
EZwfdhAsgnIxNSsRkN+tnv+Cm+/JcEg10LEYpqvAr/Q2wdvdoITVyIp8AjqnuHPcgk3N6PPSEvEn
MZE6Us3MCTzfPaFiIyh4Lthxn3vI+pK44huIIpOw5ajXeDx6CRW4ETtZKGnu4x3CPIEA1ePhAIUy
XFeAgwq0A+EQXy3vdWUa8keu/MPrMNMZIfb+DOYgCJe2SIzHgfENnw0so6cA60ZJIUbd6Br1FWQj
UQS69cqFWu8abhH8CjWTshOrl4+ZeHFg01xaf7WWeLvIbNkFoyGyEROsb27AuGdjj+WEJFeFBZhT
Y85e45kjzrIQb2qb6WW0Q3w0Fno2MudQmB15Cu5e8ja0jyoJ+j3PJvUHgX97WAOg+IFusl9uGb0P
Jfv1k5N+20fKggEE5lSmnf5GoDLBqrM9DAl7RDL+5s3BXZTFH0DVpl5WHYL6TuFYiBDz3qoNYqXZ
HzmEJcvmvkoDowvI0Bh+uMyAKGBk6DCLAzwTSMxHLQU1ECzJreFRUHbp8JZkmGdEQEEXRPVcjSvd
Dg2Y1NdpNfxAZTe+Bd547XzCv2GimMPa9AYBlfXaJXgPVQhkjvPhmPI6LoQRV9uDZKlTPufh0O0g
QlXw4cKqw/ELRwaMvDThwo+KiZ2qO3lXva6qbs3jstifOh7bCugDKtq4gSRcGMYGO4xjmQ3mlJGL
a8jPBPWAef7OG1k5hTgjwSy4e1i0ISNobRjmsGBfRjLavWpbdQgGHv4vDwT4v0uc//9Kjf+f2Kv/
zeOM/wPAQjL8P/krH4/jTkgK696H4Qt093/gV3gON8QHnIQQBykOacFBLf8Tv8r+G/GTGAg3ydIk
TgLw5ON/ng+DB6CFCJlHJPTxQAkC5PD/Bb8KkvR+Jst/OSIGwCHJ/CTx4xi/D/+5////ckQMIgcT
o9uK3T+b69NoYbO3rlqXFNMQS3dhqk+ZGfck3IeAVvkaTXDyvlOOAjUHMEVwVAl7RcLMujzymHxb
BBw1jbNQUP0W9orNGxM8i/d1qEBbhk2BMxaSIpMDzyEz7Th/HSFNlQiYHWdk9O4LcKJYA9iQ57SZ
jzajwCc/pzFWlzD7ZYw9uQCTEKtlHq1GlhGO01ANlvL0JNljYOHSJ0gGA4W79n2A41nW24hzLPro
w8NOPWUOAkF6RJ5cFC3ZHqNEtpCQ+AfkFg2Ro8Xs4VWeuS5Qv5CAKzspTqR1X6u/TMg9y732h53G
Wmhgv0Rj/Tk77xBIjFSrsBWPayxP3zjGJ2dQ1IfvacowW9PPRFYRIFQbftn+z4CW368fs4cF3ElE
V9O7oz8GEjn98QS68k233b4flzcro98bGhT2A4kKewocLTk8jx2V06UdQSMIDOpeuJ7vSdB0xrTr
Zzsbyea0BDjdJBPsEC23cMU6zvr1PUUafaSvKXI62uB1xrSwnV+san00goVwKDsLB5FhIknZsxbJ
zgC388J0jyDXhazfsAaz5xanJ7yrgepX3+MwqGv1Pk3w3g0Oo8ELHQn5RHgeNLrGmTLDacKMrcyL
wDbWjZjzNlCzUHCgeScNjIzaqEOrgirNfm3Uu8pxO0/tCoN3HapxW05xEIG0dSEaOkOYW/N3g1VI
L113j+KDQ6Lqybj6fYHX9GvTdvlLh48aI1q8uh8jRdnU9MmK9skES9HqZx+Hpni1yaHnllm4Io7c
YdPvBpy/A19muwRbm48mesWDFMb31fZvrpVjvnYwMbhyYqcF9IyJECSHFeLqoV9kYVginVPE/RuI
SQSfrnxrn4NkOCc1okLdpoqJYhAQ2UMNggQoezla+OmwvocMMQqErlqnc4ntCT7mKIE+ZMl+Ud2x
7gQCqldw3XUiirADd8uiw+qpsvFsboLujeLijtM/CJUWSp1l2j2O97B6iM4P6zawOzcDDUuQckKQ
P2DZC29/Y7VF4vUtGM740msSSotRNCqT+XvrkMB8RvARDIbFaQp7m2Fp8FeI6mcgocgSQgWtQTkv
3vTLr1Nos3rFhvVcB/h3mLZCY0M0o8GHjNyyh+FF8zeNMcBs4sM19IFs0W4L2ty/wy7IFbNVFzQ9
tRRYWcbhTmfDq06a5yE9hmt7TOsZXTn2D0hXJEWzUo3pSA95gGU2H8IVBxp5/1ae8nNMxZMvzTXU
9t/COSgCy6rNiU/VbOmeASnRc/iQBTDIrId4Mawp99vfdPO5DZjslxYuNwKrU4nDpIKqD/1XFs3z
CccDjQBjMgvDvYdgFPq4tQzgdeHBXMRK8gSl7cWE6gYe4SrBCwjAJf/k5uL3Nl0WP79ncnRQv8ah
xNd7CAoUoEZvsuG7eETak4yHmXlXKwnsYfAR6fiNUQqnaHUJTlUIfvmtATUynY3zXmpkNIpUfEXd
8t/JO48lx4Esy34R2hwOvSVBzSBDZagNLEUENODQDnz9HJT1onsxi1nPpqysrCIzg4R474rj24xK
+U7jaewrAFtbw5/NXTz4E/YGg38T7+Lmd6SHDclDxLlR3ivrh0p5OGXsuoN9WWf0Qg3ju48UtxtJ
Ff5D59cEnEzMtQX6ElHJfN4JOppbC2d53Y3F1zTk3tVsk2ibVH69S2kb7bxcANaouExJTQ3U9Rwj
7Jp7DqOEVptN2TXqMROt5qNEU0jMVhyywOh4Uyzi79j41lqEsbfd0syrW75rmnfpNR+ZB34gij7a
8my0gf/cpP9UV3A/ozbmdOZnbrLsOHJzEIog9mF491Sc7T6GcHLorb91u+1jbg3FE7K5zEV9KuPx
y83KZI3VHslAnPNO7HMuQ1VzyVq/U1q8SVwRV6C44tubnHx/tEKhtP1QUGLUEel8z6SGP390PM+k
Z3yKhfJoQ/ypK22iTKscVXg1qBV/ejYjf5dN7VX6y1WV2TNb8As0uTjdigLpRZXwJ1T6Rd+DLMug
KaIWIeQuJMmXVF5BZrHrbrhIpECl8p98O/4s0zSMpwpN2Q+H7mrbLw3P19WwTUT8ZWddKPORHFR+
WKPIE3pd4KLq1aeuvXbxR9Q3X8aqBDTn0fLQuZvNULa0I7xdUBZhQgUhN+JbM/YHgroPji4+U0+f
3OZXWbQfvprnDU/Bi28iWE2xNe8qwfTpR+DVlFvsE4reNxenFZsEP2okxrz0JpLfBPlkyp+YnNXJ
XhS7cBwvR6WXbendYEwdvASlNk7o+PubeuRbRui053YfNzL0/ZZ91OnjbVKQcR3Ti0YmHWSyiRWD
hoWA6tTjeMLxJQNZoHApO/+sjfo1mqo/dqEuuiU3MZURy45kDfeuxuLu674eX2i975PcR5/P3VDG
9r/eDd57E9N4Qg62ufM3cSeXzVK27n6WK9zBIKBcOVwqa1hTsEoYxSe5bR54emGu77KNPRUfZjzr
k2467kXpk9U1Fjpi/DJifG10dqrpxG97I92bHnlNr/1wLNIPZvRkNou5b2imY6AFmxFDaqvIMx9s
HlUJyBWTN3yOrN0v1kVRMyI0P2Do1AOhTHd468lgeqX9H/oCTbkUf0nQjEvXIN6qyNWEybI14Zth
+UpxaFD/NQqkW+XnyhuPIMdWphinUGC38Kda6YmXmNySNNpnhXdYyiB0dXqvW5YLYXyPVrtReBbB
nD6ZZfNCzvhpNoa7dPUzxuZOW1H5aWEwF4P7kjf9pxA/Zbl6Cj/mbJ2n7mLGv2Nn2CZWdZrEsNXG
hKxWHPK+5YlwVYTi4uohUQ+0jCJJS+nN5I6OKnublrtJnZ35vaJl24j5mGfHAD+mIl42U+wxgjdr
zskn/+5Kf+e0ei/zW8oPjgQt+Dr57ghSC+c1Kxy2bBwuM+F1UX5l64DXI6i/t4UTSva42vI3Pvs+
/fv5KCccGYbtCznzrTemG2EML9nkY6fjj9RR9oNHFSZDfont6ZrWdIy9drxlyYm+6UUXc0ijTtyg
uoXpYP9tiZwHWtg7nzij2Rt7AcpOIASpIqi2bGth4+B8+DV+oGR8038q1RzJV1QkV42t6dMBS90T
weVNLRa9d9z611oe6/3m2eweJGoHbfenIf3xyHQuZs7TVsBMkKRSqscA8ytcSn/VSnKe88NbE5vM
H/0uSlFkLHKAlTPtEYjfMLZPKaPTzShS2vVdZG67nAenTfWcaz8iwzuW2t24c4OXWG8030Xmk/VC
MaMeebach6HURJwK68eNll9kiWiJWjZ1zMF7JpYdHaEnsFRk8rEm2bcZyyf6hX9cH3E+0Hwnrq4v
aWY8F1Xwped+t5jGXbbmvZ/z00Tst27CiOg406VdnwsxsQfobedkLxSjKkyVAN9U1t3JQgpIFmlR
6vYfRNGdTfwNFONjGszvTjK95R51x9SET7AK3sw1tbg0lghTmTzImh3aWFt2y3DRHfgeZdO3GNvV
/CGZV0l7nySZ5EGMXa2y5NKAtlH2kG4Wl/gZ3jCBotesW46BQaOuT1/Rn5Bey7AreahkS3UdK+lT
UMVXdIEe+KVm1h0EpfpsOWQ2qrKInVBl/e8uZQuYBvGX0bX9hAXThbk2BVQOOgNjOiK5dAhf42Da
VWjE0qXulhN1MTzcacNoLl6k0mMs50OjTPofgoxHkcVh2kcvhbvEj4UGSDB2LbHrpeWJS5128u7G
rPO7XjJNDkmJvU0YLQwchTwmbGbpQ0S2yqVXF7oVRtFQMPo3fBhJZbxrv44eDcmyN1pyQ7aWpmRk
nZZ2lZ0H51Ubxs2H6McF73NFqhpAY2tMBIwgoGxktRxrn8WvHoedD23pPVmdkQyh+ctwg8dMGKS1
HSZ2U+b3OfOWvZzy7lTkBBhVTj3Yt72dqutzHkTPXks8oa7BqqW1onJfPRJ+zbdj9S/NnB1VOAo0
trJ2JKSNbUYQ1HSz7DHN4u6fif199At/tY5IO6WMbo1lLSjTmXHwa6O7InNVpIyoE3fEPnBhg6tL
FmDTxgbCqjDOzmi/klZKQoswxLZg0wJkA4hC/qY0au1r3FEUbYlg10wBTC9quN7YWifmn4MyWx5+
KHqzUBXq3QKJqturinKuu9z7Jj+Rf33qBBlFxr9VNTLz8R9KMr7cMmzcNgbHKb+tKr8i/N+9oWHW
5GYhakv2kemxp7+4b+vU3S5TldyZ440wZdk99D1fW7Qgyymn7PZza8mt6cyEEUX3pVr5MbXmM33G
49x517qhAmtVd6rC3SVPfxrb/8R6O06B91OlWUgT5LslyZ520W/OiDrK8q8fvMWT+WaZ3Utb2K9w
m5JzNCd/4X7+hufxVZdQtoyBvgK/vWHLe5m0BbQaOunwiiaR7uYgYWTW9DAJ11p1A6nqX8kSf0lc
/FqId+RxRsulw+G4mxlTjFgiHy+DRDYs761wQHcYKVP7jBDoqxt9HfAty5OkznW0ii9lAn2MxVgT
qejvtQeJ1SmKInSH7sFwDOcG7qTcln69/0/LtRbPHa8Pu8jPpGyAbwx/EsI0xGmxaOCsAJkpgIEQ
gZe6P9dxvObbXuqquKH+3ZTMSaAzTKnl30ht3uLFS33BjDYNOfOmX5s05FbyeaK7KkJRIAgD/CjU
uO+JEqNnzL8nYzwOS2dcPT/+SRlzTGJPRTM+VmL8F/Rugz1MhnrBUSyW6sNfvL1wE7UNPIuhvdpV
rf/RZiUfkEBYrFRAvsCLSf+HcWZ+pVn/mCbRkQLDxlpfJNJtdtSXix18Q5bVOCzkci7s4NB2GK7a
PFcmRtc0UCIdfjmyNDZJ6QFK8/ajT17KnMI0RQdNra3DKEkvCX/UnY9rMdXDXUBFke84Maufj7xh
dqzZwNiQ/JPBZZTyfttpTdqrOw8pb0KS94OFpEGKiITsQG11DoprzIg6j5H5CJ3jRkl/21vGW1qz
xdcGqeTGyRCGE8bWY9xhaXr1nDCK6tNYzCBwk6zv35mIBnJn8i/Z9k1vLARxGf180AJbMcbObZwn
EruW0uYpseb0NnnrcGJYiTtREfP1kzfFBcE/x53Aw4EHQc14sRqV8V+s+aNX8jypHFGKlsKGSlC1
HbLuD5QVUCn/Mm0T3uhfk1TfRkIhdWX3PDGn5kaqzoDuYLfzrxjiQY4gVSI0Nbx56UXOhL55Abfx
3sua+pgZnXhuourCP5uelOheqplvcOEm2fWTgYVh6TtMpd1YUWPvid7wf76TymK4KrdT3TwkIgVu
4tYH0ftVCCDTBY63fuao6P7UrD24XVIkb9EaTLGRZYbJca4OYs5tXGqxNVmRoQV8qMI/tWrGbbY7
AIVqss9uVz+3Q04TbIZm4aXVfvJNeSh7fV4sXsq59vTau8lfm1a1YTmPAhpLkocG5QDuKuAsaan/
0u3YOabqH2m6771Vpag8m03kOMFiisZxb5Yi3mOU580u1Vz2/Ri7Nx7y+bsvEfYI2a7P68+BIiq5
PeYXnN8DVbxkQ1Fvvg1Op3/NZQoZqhDxT14hdw63pjSOaRP/pW+aHmjfIdvnJH19DH64Eem5IFGa
G+55LN4ckz26jojDEyvxB+dloCgnek0O2HUPo3XqtP1jpWgf+WzsSid90nUFN3LZjxGIBVhgy0My
qHfDEqfSaKmOLdVmbJJnOmrgDCPnB4fqsM4oljvtInFNsotBS6127a3tdAezLV5966/Vg55OsRsK
6zmoxpkMpvXgDdM/CdRtLxuScG1+SUH1HuUSPWd289BIk/AX0tQ88r+OPZd+sX4uSZE+t6V4KAGd
7QWNzo3RWOl7EX12mb7K/jkonxu3OgI/2JdqMe8IU64To3MWB/J0DqivxvxaurnbdplT7UaRhaop
4CHphzT6o6yXdCG5A7LkmLbWx6x2LQFUdDk0PQ2NjjTTLdUYjryWjD4xQqOKdnbTjcwiyweix5nO
9NE0kUA8yzx7Na8/MgyhNpuXMQK3aJMLNgSl2Sp38YiZ0BHqN37uP6egv7Pe/Zq1gz/nBju3xZyk
IuqhrDSXzHntYjh6PMx63rEDYkIFmq+ozbPvovakKECdyI4xgS7Q1RuCdsgI0j7FrD2UmwiAj/OG
kMK7jig9OaR7JsMuWaWpPBmwq6v+szPuHar0DKNAkRDlzTM7+sAAvnHBmtjewvNoiUDSiVhPH0n8
VBpfVBp3U9WhkcQ/6w3mUjcRVUOcRXz0Bc/ibsIVl/Ntil+05587zzm5iSAfRz10PIzBe871oyPx
NJT1V27THhrHaCdVcQp6HslT/1LzuIjm18yNwpru2cRnn+n+YRztQyPWB3RAy/Uv0OmvLkjIS3y4
CBPDuJ9m/ztjyzEQQPOhDMuF/M5M9Mkbzrnu9wS2qmGXy5dEf8vyNy3QGbpJlPzD270ELWS/QW7d
/LNLf6FqiDI9KFRoQX4MXQGGkrPvOtYG07zZAUHSsUBWq7pLGf8o2iC5WT60BHjqWBz8AW7UPOOm
AcYjLwDZJqDPDNdEZf7eSN49N9+z6PLJ2fFZJl+JtE5g5k7G+FiYqMi5Oxzb0j6mRr5pHPfRqV58
6/caC4DqvaOC8VwWLPWtbRwGOZJTbPN7l4JBY2+j5mbtTLcItdWG1YJK3RjDk7tMf0qbAyFN3oS6
U4+FLxFvbIqN4rrw1Guq9FT4C+ZESZO0FZKoFZHA5r0ZbxQaISK+mVa6V/GPxk9oyBzL92q6T72z
Ccq3etZ8uGSW3aV8XIxBnCebBJR+pipKsLGjm6Z7MOQ+lajxKtoaUZgMm/WRLv0pVdNrIb+Kad5k
o/c8Eren5A42NQnh4MTOp70mqdSY4bt4vwaHLtQ8Fdeqyw5pU1zq/h6RG3k1iW/mhnFsMiATNXBh
Cgpe9JJm0UVa9Im1cbDIO5IG2y35tM2l5MXvAxV6bBIPsH7Ei/B5sl+rYYGqKcsHuBtx/zVQHUfw
7U/GkLB/99t8gnIkzvg8JhGyZGebl1I9LIKPDoEyOef+qUuXkxGfKybkJNvlDIvprqreiuVeuOXe
EV8Gr/HsquozBdNjxgyR6Fd7zB6AUBZi5iVCqAvLDDxHmseUsBvYePl+XQ1toz6my7/I0mGQ6aeC
WFij3ymJQg4lg1h0D2jMNZWvylpupsMaOVl0BONHGcCBN61DZh0TG2Yn3Y4cF6vONb1mRiXUtdQf
QyrWJ69xyNlvwPjzCtjAbgeoeXGqi1M8uOKtM451j1y0t1JylOpbV29Wh/G1SyXvQOU9EyG/8C56
gAD4msmCeI+7N5Y82ZTGW0uvqaciTLMmXUs0O+LKM4AUOjxbv4Bu2d5ayXUbH5pg+rSyp6UL54ow
kYdonqlrVR18cqhIxABmXCLWtif3drCEtjb/mBRPE0jzlH0f13MzMCuwQHxnQ6LoYkhK6zQKMQLt
8mEssmBD7+wdTpG1gxJwzFnBGKF2eU2j3sTdd8ywMyFk8yWK5KZ0BAeoFODgZZoTaPOpiq2RtxFd
xElOUVSYhPyJidhzx4JWXJWJaFsM1w5C3rEy1L1Pot+TW39ZBgtuTwHX9kntjUV1pjLPWGjm6mEO
2k9CIYsAwyS67i8IuWtbLhxxAHLFHbbpoMjlkh3y96Vxz4G1rCJ5MM+H1jN4CrsbNd8jwa88fxlV
wyZMBbup01+2LZA4jrY9GEfdHbSkTjrj2q6S72uOEdEsnbMrM0JH5JZLdZ0bBv6KdPLbbL412c2S
EXyFfrMYza7m+pytYh/Ja2mNj2b3d7IMsjntSfqgbNPnDBVWpo8Rhwz4XrvzlplZptm3KMl5fUqK
E5XBJPqQ06VyXlC5QchazN/9spWOJMIlEKG6pn8hVZZsOfLiMyDuWwSftBuvyrXW1ELGCEmqqPF5
lJSnjC6qmK1/VfyHWGBP45Ycs9TQL0hM7BuvuqEXWGhRihCmPV5HwT+yEylBJOdYOl1+r6I2/3SX
CA7TLB+5t3oqq72/40QHH0UiIB42kk6sPFygbvjMlwqEw7K3CuuJhpnaCDf9jrpm0xW02cd4Oae6
2vV5fGw6C/KkZkrxDRVmGVdyY6JOI4eGxuwdR88IMJZzHN7W+FMbwa1a8HENYd+KPPAvftqPr+Ni
/3YFd3gV6GcTdYiw/8/QN6c5i8CE53GP7YXiHyBPQmHCE9H6CawPqQ7HcI/dMvhnlxXFW/pt4/ye
sdoBqpsaqQiJJR7d8uQF80M3WA3NutgNqygm3u4nzZPhRM/LwPYxOMmvQMbWFiVSbZNICe6nDrBF
adKfNPdRYCWM1/cpIcw4Q03ZlKn1O0iWFBkViriF/XEneWXBUpynY02tn6eWSKN3FsOASyhYLpkZ
9wd/ohpWNoPp7Nw5zvce0ntol+2RxO17rPk2msnWO7t9J898NBLnd2A5+9y1MbJt+cZJI6xgct8V
E/yt5e6OzQmHeB/7XIFdclJSXPtA3LyEMHtmQDaSWp+zRWzUECQUj+GhF4shDgFX0qPnzhezjkeQ
kSvdocqdYi8UOOrNmBXFuxyUTc0VleTQdTbtPCEzb2BNsqTB8yR+TfNByY3XJYiXecLfG2Zzdpjc
Ytcpi16U5bg7XBzrQpVT7zpcBzRajoOJtpGfOgCXVH3oRPXsWLJ6rk0M0gCY9V3FsjlYVdbv4BDI
X16nHvKJOBCrJrFabyJKpNhtRiU01HKkiiUR/UuD6kIzszEfyZklMOBmtz9a5OlwoXW5kJqQ6fzU
kMKjz8NxRXsl2Y05tIimuGW+5JH6O/icznGrImkhNsS19TmVXvMzriJvLM1pqyaUJqhO7c+SihzQ
3zJ8r6klXiTWcAf75u0A1aKulBlmsDIgTvBzJBnmkbVqMfgjcGPscYNBQaHPR65QxJaKpJCPreu9
jQESma0AjhHe2CdDZX1iuWNM12q4D3KBj8CxOUQACYwLJcDdLmnwEecJc27RT1/0gb6TqrH7Y+VO
zrXpJut3G2N6x+QdvhXIXYoXDZO9ILabgB8B00snKgAGfnZcQsA2t/6R1D8xfgPRqY6OfBdAs9g3
zlXTfvejqe4ObXh6lCTsMwv8u+LVhNZjjDZz3SRO9A5Jw3awqM1idj7GamWGQzMOfkSqCaCtZXNy
9C0ZQnabXZrVc5iw0RxUYqD7RqALPPg6fsseXMzFd2tTth36SNGF0B0GCsifdFq+wPyXe0E49zvI
4E+EHWIRVuyoYCGXaZU9dQOECwNIzpZDqQK+5IDtbvRzBoNSboNmkp9mNcg7+BT52bPXnFTulA+0
B5sD5Vt5K9kfmHBgZGzr2SP7RvLQJC/T2LwVpwj/s4gal/varK9ZFiAPTol/UA0kCNuvWr63FkMl
ypV7qMRD7s9Q/AcQB/+UM5Y7HG3Rhi7pljvn4gR/ihb2ebYY3m5UrfMQeY7YC+aDMwo1QxTv0ns3
GppzFTSJ91a6jx1sir3LySmIlfCaLm1rBRDgLS8coRqfCTaRTAwMNB3dTEDCI3f8U0yx0x7gMrGz
RIXYtlZbiXPbQW2YZWw+m30Mk11ZXr2LAuxcFrA5rFOj9kldkCiMORTigUgIyLy6nuPHAQF4N9jm
+Ji7mt+v9w1cadOb9vThkwcK9lwbFgFVbmVWuVz2ByjADtF0Jd79KFrafVOm+miXhf9FezMGWJOv
7CreYsazzIn9eJ7xT0SlRmaYo39lux5rRF4wdKCx7FLiVNV/iAGQ4FBN2iIYwj7zfL4WoNtm5zzC
hYf2g4kJB0mBpK48ly6/qj3z3S4i6xGBh9R256rCvFFiGsD9UrhkP1DmynMZdobhEzk1TVlf0TbQ
vzOHBontwM+rDTAsmf/kqXg+6GjK6GDTNq0nIkOx53pHnwPPnqNCp0+K/aIBAnLLGCQJfUzRT6ra
eYIIGfsP1GQeNVXlQ0IxxqxasR9oWh2GaEElVpIDOUYVf0y5Z5+zyXmf6qq5232lH6UEYD1mwIP4
tUBbWlF0RETqL00emR/ro3DvBOxQUlXzr0mMfAlcE89xDvJ6bhU/q1OuIrsVJ9uu51d3cFFddAnT
GWRyCHEmeBKtHJ5QqpSB9Q6xauODYXfDZMpa+uz0s1VY9OWvBCcBzPB6AEE5XaJ87s/+1DXcEbER
at/0v+0UvEVGZ3ZfK1xf7iFMlcbm8jAZ8/9lUzI/IMj9qQcc885Xh2BZUVd9jhxTUD2+eXXA+pSR
9uQ+LO1T0ubi6II6PLdARGnhkHUO/BOlZxR/nxPHatGcG/bsJ1XZwwOmpb03Gz0/WHM3Q8wquMcy
+grA19xnHVXug/Sn4T6PpNmhJudvVDBRnFQg7YGYAgxOC5cEzH0qIuadMX/UvU73yarG9jJ55lAT
6z7z3cISc8CUYSd5xyLRbynoqSfHDYbraHvRe23MAsUt/4A2KrYlRZNw0bo+tjUlEdqDe3NsVRgx
Nf4KnAGOtPB3VPIRR2tYS2/+ZMHGrJvY1ZvG5dQqhOleHVvy0ltH0wTPaM2B46zFnvEHH6nAlfBt
jMoFg/TuOSaxLKAMq5N80flk3brGhb+ZL18IPegz9aT/RJEltnahyV5MnLygXQLeWrXLCFMB8NR6
N8qd0iWCpyEi3OIS5s1YwcX3Jpr2DAw9Lw0GkSoHksCZBacSNY/2uMn6skRfJPNNmwe2S2goYAcJ
OaYt/w09E3aYJFhglYED4SZd8xeNXgsuMZmTvimj7yo2/euM7NeQraEZY5DkyYpQBGArhZjEmQs0
PwZy8v6UeUA4E1PyTogDOK9qvUOxJC4ujymNm5C0d1t44VE/ALlvY+ogYhoxgbQVszrPfXTnamMv
TyF5kXWK0ueeYCMjJiD9XUbs/gjSnNSZmPz3omi7Y0OybqazR+eS95jpjWHXSWCwyIL6LvMBgIJB
iu3mcZbLY0vz7ZTJKCPyOXBal+112TsluILMV5PKUJmx/pnKJr3bBfSj2h1ZyfJE04OaAn0m/4qj
AyUKmlvgLKN59X3V0G2eoz8d8PVmU7uDuFPUaP7Nfb385MSbz8Az53znxQZOgQVUlG8x/iKB4dwN
nuR7iQBFb2FMa8IxTvJkzFW1W2Kzv0wDMvmU9OZx0WP32cdLHMaBwzRtFeqZ+kH6gIZV0+iUTNGJ
hrCD5EKVzkAw7Al5vA6RXn6KPCuB10TjHsBcADlXGinLHienDILk31LDTptnJItAOqRj4dwuYbs0
5FjLyW/vnJp3pEoMvJ5X0smlfnqWnGFFFElXFLBURf90nu+6Js7Tpt5zhD+5156VrdCKxt2uvObL
YAx1aGh31xrJ8tVEWr12PfWlJgMQXHi6fxM0k7ON5vADBLreu7g+rlI2PVlu/IECTxhBzO2taDLr
0Fc0vLSI8KfT3ANt4Q6KIk4xHUYoRDsDmNUTRUleDBqAVqS8kidpvyxk2UArY5zN/m2pCF1xzxjX
xDLtP6CQ04fEkpB947jBZq+Q8XysIcDJy0TNBhyvNboC6q5yOY9BQ7jcQeAz33mY/BlwFU/YwsHG
RloAR2bM+yrV2UM0Z9wjETVVUK3OMv12gzl48uOHIsL6SC6B8xjB9D27cdz+KyuLt1N0bfLlgJ5N
pbVnBGijZe+Z69t8MS5NjE5pD3Ci9MWhGyZbIEmmTaS2vNgVdGZwPw7rZLQm7Rffilt8oMg7MqBA
+muV/cmbA3pDDEARs8Rz/gbQgd+GskqAX2UB7jkWPZC9VhgM9pkbesq07bAoQIsIu2m30k8OpdnC
+EjfOH9LDVt/MeNH3zp7dntsI+R11U6Yx3W7nAoP8T6N21AJ+5IvXbodHCp3+XKN/OGNo7ja0KKc
CyXhNDrz93+C7ysPNf6mAPs/Th/9+387dO7/RzqrRTr//w5nZYqPf7fpd0Uh4D8n2q71gPVH/hvP
6v+Xy0F0FglhUzi2CwT+v/GsUv4XsTXTJn5jmzBgxP84h87+L3QsaXpi3eT+dz/A/C/J3slPQXz1
/0Nu/X85P1byl/zPeoCE6MGxTjAaLM67E/x5/7seYE9pNA3ROG2nmDPSRgsSGP42zUq/rcWBw131
uFV55MFT9Gz3Oy/Idmxzi0w5xC2e9a7fuCYjv5PfWjvlyJHZ5niVMF1KgDYZw90HmInV523rjjEJ
0bnb4rkt5Du1Q+Gzl7oNTopN5HmxwMSGAdW3nvSmIr6WJKb/NBjQlTamli4ablujjnBUSMx5pUHM
kW0m305WOvoN+md07aOFv3aMdc55UEp54uQBmMACiL6lyZg25CywG05WTfa8ud7HkhXMc+7SKu8J
FAaDh4SefCz+5ArED/m8C6cx30fjsML0dzLWu0iWrOn6GFU5FXyTRJpej+mxxl2hHUE8Nl6I3jhW
zzwsrD+OfAMYBk1GJIw1PvppkG7hyJBsQfsR6ndDnDIyprDys4tqgl8Uz55mnzi3gYCwmPzk4E0b
IyYqD7rG1OQRweTzTiLRx38AEfXaFZ3HW59KJD+CKxIlEOHbYOMN1kfs1fuZHlLb2JXeU1vksWtQ
IVuOOrVnXk7OlwTD/1mk6cghc3h+m5q0qhPWtY0nZvgxruMUf5hNTVUwsQrje5IzU60Jr+JhbMtu
xZZkHMclpNluLKvFqTAxreONUmTuN8Eo8l9p27a3zF9PTktji2UtIeHSV8q7FDlYK5lnw3nKRzqx
Eun4uXf75FeqkKbW2APVUEXfFM8jG9W+NacWymi59sdIPqXP4H+QfCwwvZeCi/kQuZw1knt9+SRc
/GC0R4EDBX1WtPplGpvCD2m0TuzzAUE5d4yOuVmhahY82Hd0EaqfOeHxz5WvAQYgRMLeCQjbV+OJ
kxAZkDoYsYCokr/Qw2xiXYTSgH+V+T3m7OBdjBIT28O0y3Q0/HBULWJ3Y1MQjkpKz4FZzj5nsdQa
pxg8Hm27qUmrjddPHA0V1RHlOe32H8nUq3fZegOCBphP2FyIcPSeM8z0nsNXDP7lZvuvDaz2TS9B
8S5Uj+0VjQ4b4whAkLCz732BbOje27l0/syA7empzyxAJOO76upYGWQJaE6ouqXAV4gAFzroIVXw
1yonRGgChMGvOeB4v21ZeqvfwLlXfzpkI9p7c4wjkkWtrHcJHb+UgjVnUG85ompCh+kzOMJa5N+d
7a32J3j8awcvAHpHN/Crj2LGPAS2NyZXguHlt2fK6a9ntej5oO3r9g/NXZMhbIL31QhCcXyjhhoO
iW8Xzd5r68gnQxrj6FZz3pOU6CmZk9WbrQ8uHn5Hnk68sZvIIQ2ibY8AkksBMfSmsayvRTlk6SkX
ldudOKEw9x/MqiQh6iy5+VTQHuUJlKcdZCxuAHuTeFS5N3OPOX+0jDg2r/R5UwocusfgNYGrzdtV
P4xuS9fXbljytucwvxgdLIxi2MuhzFhgOS4BSBjnc0F+4rgnesjbBAVabqphfdKUSUBkqdKwU26x
yW1Nh0RzeMbUddYxs7jszrapxOdo16LYCbkCdZUdkLAkXTagiuSeTwjAMvS0HzgJiIx4NFjuHiHY
JJhnC8UkZTuRfk+IvdxT07PNXTGXsw55wrr/h7vzWI6cSbPsu/R6UAYH4BBm07MITQa1SpIbGFVC
CwfcoZ6+D7JqqrvKrNumtrP5zTLzJ5kZEXD/xL3nMpWni0YguJDuhNJFT+o81Ux/xaI7mgCApUwe
EfI520nXvd6NpVjYUPk2NDaPj5e6UlEf6ovWxBrLDCyT9NBMUfAaoYReTulAkNMO42LcHxSYZXHh
YAa1Nw4jM0QzUc3wWIbSqi7deXGjS5qyeryqEsyV+1ia+piYPjR3U9m7N3Mz9/Z2bjt8DSXUgebk
QwJney0CMNud0vm0D0XM7twZ3FgcmQeh6cmIn3TYGiA+Y/riy/Zq0jr7Wegd8cXT5c23gd9U/lUw
OAJrSdjmF/bAx3grhirAX5+0IaBDZgfyIOspImyiKxAljaT+fERdOYDxo/faQMIDQ5SUPv2a7eYe
mqZ2EPh0+pVbNunh3LbIsbZM33gke1tn01Z3FbZuK7INcYvFwiai8qGsUW0W3ntXr5wZDP02TSJV
e7QryRNlnjf4ZzO1VoOCAKru2AO12dlxSvvOpc6gFrRXgSB4mOBzJ9jF4Pcbi5ApydlKOhj3Dr9T
uXW7U5Dx2BuGI9DiMe1CpvrkLzfoDt3+Hcb2wNKxjUc6+ywPWB3BDAW/7OW0wLE3L9jZCX6GCUXM
GrMnwjEIcyOpotsn5dJ8kwc5fBp3QmqgjPH5xPaxvMoi0/70YMPQsvgRG4esHmJgYiQC9sJ5VBCq
9iR0gJqw89R+LKSLCRF/QHUyoLxdXLXlfIXXbPzleVXC9lCT+iX6HD5nPoKWahtSY5IYaueuHUV2
ORRJfy6HHsOtX8d1CRMWrwWDBcBis1Mt2WFImuRNBi8JPeo2rTzzXU3dXN6Egzc9cz1hA3OSMsW5
6CfRl8fwHN7EoufbebYAYaZmdF5yzuWY7UUgUaaUBlQ1L7D/CNIPAQ6GhAwBiCQlsLbH9iusQ+jI
MUnY7rGKZYmFwY5dwHgiZBRN/gruianSr7NtMXXL0E5DydHCp4AP3d8yHt1vL0gCDQltct+dETz8
XntBSILH7CPK8Yp05OijpanYU4fidwLdFRBrO7Bvj6QsmH4sDWOYFlsH8jKpMD2CzAgemp69LbP1
ov+a+toQVzoa3j6tkCtvEEvzJrm+w21kRxQqrO9B3YYMJnVQlg9up1S1BZqEC69h1q62DNdIne2D
aN0Oznlh0KCODQEtGLoJPV+Ed8nom4AZWZNosVVhMR7mNgizLRe0Ne1Gt1FE92REsCQmT995ZqPv
pV/GcIcqkaWnnMNutUzhSFlFUEPOgiSdHkq2AffrWvsjiGTDA7kQVbZflk7jdbPDeN4zClCXRChR
e0x1KiwACS1YdPwuLO1WjCOjPAIwvf1iN4zOI1zanyC4ik/Nf6HAx4FFiG5FYA5LbZl523+96/r/
M+rbWZuN/76xevzpPv+prfrzFX/rq8j3tsnNDiPczcRyrQkWf4u9CP8S0lWFkc2fATB0/tN27f8F
3yqzlL/asdcQ77/brh3aKhpvmrEAyYHj+/+K7RqZ+z/ZrundnIDsen8NBvMiW/xTX5VlfQa+p6OC
ZqB+mRF1uR/KRl6izmqgqwpDccfhO5P+hBZsencjaHapo7tbiGcxCRKZ9xmvoZkQBcMLRkjpLwKg
loM0hGvqnFBm7P9B8Crypj/SPsHKlkGE2QOOzNVIr/V7TDz7Hh+HvIgWbd3INc7T6pGPijxn+5qN
5o5jQZNHYdqXfo0CJTgm34/SYIiZ8EgXa2RoFznWM3GW3q7VdnKh/2SLjhkX5rIGjoZr9KjHHP7o
WkX+2XDywFnLxguE8vVpait9Dz8D6JP25WnSqXO1pGLZNwTK4mJJi6umH68dad+xaNwnU/BQijjb
Lo54jG2XNKmIO3TWE2AKvCMfUcjRazfMcWMTo+AD1b+0zjdzK/7uSbbPSvQnZXDZsfc8ykIfcvw7
nAbY68C++cnzODcPFtrYU5rI8c7McXWAqpdEmC24RRhRzchYyE11XaN/wrH1jtl63YgFI0lZsSy2
53H+FOtthNBVXViz99RworwVbNgxvKH6GgWC39S9yR1PkqrW1fdx1TjXSxO2z2MNDyVgRXHCeTc8
IZwlhtlvMbo6djlC4sIao4sei9efq3JMy4lMBYXBz6RfRlV7kRNxAF0F9H1cAawMiU6sA00AaTow
RlKuvnfdNtrUZWIdYYHhsW69W2nF3s5pWJj39LgDWcUpLvFxdiS9pHdRM7OcPIVMOUXUaqYXJnIR
RTP05sJ8go9+kAXEm4l0dlaN7WUIfBTv6pIeXA8YQCOxcw/TWZGkaFFEI3v9TMlP4ZxOin1dDc8D
My4O0cSkV5YCWMooteUv0YvO7JzaJ6QSYVaoMCYR6lKcRRqyfgl5ddDiIsv3K8XNB9GZ5ShhI3m3
y7N6P6pvRxGaaCKwb8wZJ7RRlzFamm3Ccb1XxJgfO7C2oUYl5KRAihrswlM9FNddNCLXgaS78/vw
GOaut2kTK/wS6DAPnPGxQ+vDxGMQwtzNXJfQro7MaaNVan/MbMC1EoHiNpfuRmCyt73hsKZAuVjk
Rb2ArqFXPiknU4yho5+uE+jtQoOtV5+FZK4wwS7aJDqYrtMBD3yHHWFgvLEfWMANDnqixUgeODcd
KNiLs9tmAhWxQuFuke7QQSDFceGiznPZfOBt6YfQu58soqCLQH31VvccDGNzK0J5DzIu25YaMgEC
XuLehLfs2Uh+sAkhNxsc6ENn5+RS0ySzE6Th8SZItqVfcuH7UFoo7oFvtl73AeOIHS391xHoC+Iq
aUFdiZNbTbG9wQP15pSVfRxKMb4Y3yWftVHm0Tjymp0qrxUS3bqtL+mktiU+5bzKLjovza5JLPVe
CtSQOwgyuo/WWOgMYFXo4ZoZx696RkuUKNt9wSeidqYLszMzViRu87TRnvUaqcw+1Ox+dnaXPrGR
3bFRao71DLtL8DTtwiYLrrIsa1+gn61Uze6rTPN7WUtzlxGaCgDt2nLFRTbrF0KjiT0H2b8LdPsY
p9k3MQMfgVE3ElXpTQDelixaTFsV4gI00PmlbEFhJmwdL6wSLK2yKnbw7B5pGvGLOosKEOSVxRdt
Q0eMOQZ/GBTLb3QRyMbcctw3JcwzAvH6IwBNjrueCh+laB7TinvEebcCimBORZKnJc+Taseth0fq
2GEGQQWRy8OUEjnoRbCNZj8l2AjhHDg7Qu/syv2Ex+dvyjFePWz1dEw8JzzPDGnO0WCx8AsC5z1r
PAnZlL0IeLuqu+3j7NJLCiz/qq33xOZkB/iD1yVbyzgi/QP7pZ9++7QcJzFE+Wsis/km6PruJyoq
+TPxtl0WS3QvhtzbhiG7OImX/mNucWZ0ErJYWsJ2LRPMJSq5CLmK9oOS4qILk/KxCrJvYPvBzoNi
urO0qF8avQwPSGbKl34GCeH4C4tTBCxJ4tT3FlxnVEw5uMBNvvivFvBppFgVdEeSpYP6Oa68BuH2
YrlbjoGbQRVfY2rnWLao2JUV0FKl5eoVCQB0tmnWt1tjOf1LFtJ58E+N2Y5lwOsOU1EGpMbWSj1g
qPLJrh5LKzz2s+VdhNZkvblDW19RfhTQLNo6eEIqgsIxq1uDnclycK7K+k5bbBKjqIAW17B+773c
wmqaVQ5NUTJ0V27eJ8CVGKw8t9gy7wZ2fwP584YGyl4NqjFN0kkUqn1hqyqfPEEeyLZoU5QK9Jd+
dNJNbH0ok5mHwXG6R4vkwAeHfu+RUoQmCT7ftsTIhJud3iQWrsKNwqHVsAi7xZu/XA+qN5dpUbZH
GS9QSTzx0ij8ZVx5Dbqgyb3Mlm764PVIuYB91fzMS4tDfU7NbyZf1bwrGcw9B/PEDCJPHE5I4PtM
fzsXIOSxEVG4pacYHhwDIT+UHbNcG897HD2yk970uX0DZOLBKgJuYsbNRo/5wUTlsz+XqA66EZu2
a536fj6W8jvElGLZTBO9YVdky6dNkgrB07s0zTyChaN4vs3KJr4KWV1uh3zEGT18hEhRoJxxUCCG
tNpP6D3u2W1MBASy12xPF0bZYQrqIDbNh6IF2c2JYcEq42upDLlGPKMj5Gsn0hAjl0Q+e8KM+PZH
F7spxzFzXLgNAfxYx132wg76+yEX/jMKD2q3hOnKYx64qGxzL7qDSNB/ZJ2Bima4ZuLSUXuzFEhd
8zy8gCmAEc2l+kt02x10NPo/ftB/zmWwPJeYYHhxqu7Y2sb7lrNM99RePTcokTqmo0jr2b/JZikf
yU8PDhnd5q6bVvzIYjDli88gt18il5YU91Z900Sdd0qg5aOYj1mBxtnJnpEU8VxKq75KwuYId4xT
MqqnzeJ4NuIAZguoxJzkzCVU/wz5TJWyIHRbnDY52nGGsBBoRvKt+uIjsNiBOgg08naSV65bIKAj
kIBNn5PeCdd23lQ3DOfaGprnxIf1NgL3PPklMbDEpAtUbBN2g1LnX2iz4j1UHZSvhes+47Viz+3W
KvztViWh4Y6EJ+eQds+TluykR4OO/Kzwh1uQinbBlKuujnIMRm49/1TFa5qjlZZ3SdOl4N0cwF+9
Dun48uSW9A5Cs1lrtADHDPElSWxQQITyonaye7PMwS/pptEN6itsohIz2SYbRPMchHicaCl7g6so
JZ+HYzxj4e+BU8jBZsgUo1X+Ps4Fk0U4GyImpOIKr6lyNyzzeSo0ei6T43fZ+G4YI6cdxO/C6/sT
87gzFjp9CcafBNOWyCTVZXjk1xy0rmvNxWLIRoOOWG2HP4FpltNESKn/BKlVqsfwvqarIVYp5y29
0SpSl/EVc7bVLfknlM1BPHjZeROyVW/xsDgFa4Ib8gzG6ViKE4bq6+ccYET73k0kILVwMZOMJLhR
lwydlnkNiOODzwyHOddm3XavZJWUWLO+js/YnvH0mKLzbDoPcue6CSoSKUsje3W1JtNFnTUj2Q/W
wDr0ZCFmLeme2AfokaTwqUVwuJhf45p3B2aE8DTP72bsRWsqXo1MCJP2n7A8ELCu2JWMV3jhSNMT
MNf2acoGJUYu9gR4lNg9HSUFrEi3OlprKl+y5vPZs6eYIa+pfRQHznZg8rJt5wxGTd8U81M5Bv3W
d/PqlvM/OeTk4u173dn7payy29hS2QHFWPfh5PAn2OoUzW8YGctH0bC61Yk/HqZGPQ190yWbMWKG
sdQUGp6mmnNyQujJLHNvIF9KmMpXFbrVDSLN6sbrTHeZ122JwTh0OZho6rhA8Gaz4N+PZeIhfOEz
oFKoF8jvEF+QQnNgKSav4t68tS7E0DJkvohyI5MnKYblgvgkjjxS1erb2WTOaUoN+6I2gUXRMdFv
XGu4FFzOl0r7y7EkAGXHntA6j6yJttZI6DEzWlIfuPn2Vdxhncmh/ufSIxAwVzVbqcBUr/0MQzBv
QxI2wj7iBhHgPIJqPvFbXKg2mzvviFtJ/GKOs+Cfz/MHW0WfFZ9fbDYoPocRBxXh10igFFBEcmVp
vhRtUfonVF57820aIodOm9Ha+FhPzqQ8tf3jkroPY+ddhnjOAFOKOxqGdxN9owi8cPL+OJgxusiq
jBqX0MfMHh8aOr7N4I7RZZS6GHFjL7vg81FstR419FfvLR5qKIC6+WWNGSIOhWXfL7yfESrAUK/m
arTOqD4PUUj2owLECNeaqW+Q/nZXkIFltySIGIeGIRrknlRL/PNtcDV55iXqLWePSJnZaxVfE/PB
1AxiwE3nYvUXSRmelnkCp01fLK/t1Ifyy6/QQU/PemYpFZP3vGlsdHD2FMRUhy4jLig/FlVvv+Qu
nGPoAcA0zsoBktYVB0RqsI6WyjpYcbMclZBv+DjDVw7C4jRmxTspQzDecNCG/KMzYb3Y9bzsW2IZ
jrz1EFKdXp50XDyxZ1mAbeZEPucRCdUFDf3GoUJ6wKKAj0wspN5uYOeVxySy8xy8xxCgOW9irEV+
fuQL1X6JJlxCy9ccJuThWBpVWJ2bHWvANfRI0u+o4MXNahKfAhkDPYly85kPwt5KoSXWKEWUcjsR
OpUjCifA+SYIhujBYSeZkZ4XXisao9Do66yoylvJ1Obsqsw/KGIOD7729lJi5x8D1TLZpjtyewR+
c7CK+Skwlb6JVPSVk19E8QOVsSr7/WQ5ZxKXAK/7KtrNocIWZT12FqgiR0kGoQLhkfbHE00ln1fJ
26EiUDtq8IeT8hhjo3NmRJxAEluHonJebsVUvi8eeQSBOwQnjUcfOo1BblT1VM7ZjWN1yQU6yE3Q
8j0c8LaSCn0jEEji2rAdVgfVMfPJI5HQWqEZhBQg/PShFx+ZxiVjz857LlW4Zzi6zRfsae1gYnY4
cb3n3XOpiEmUDodKo+FhW4Pu6V6Y+lGhOlYtR5Il54h9BFIZxY7qIBLvivsWI0X8WDifFpbHI4bC
+dBD2PycEqZEjLkuyyF4D/rhrCnXlRDlcey4jJtCPHJX9LemNJjpg4YxRY001IzeOY6dBWRYfXL8
OMECHeO80neqjvaz7jbVGM0nU2ASjtkZd4JhbpvU9UXKvG+rwLwfhV3K+873MkhgMRPwsZ13ft7/
QihmEMrVxBHB8os8TpW6yY9FjKYtL+LrgnocuHrZbUmUctiZ9M9jlR/cLr9qqu67JfZ2bzdyDYol
zGWesuWSJJ1XFynsfdUHTzpmGyDLhjp2jPSRLIPhpmResF2kdTL4Vi9o0Tss8ajJY48IeLIZwRfl
PnKkXM97Uzn3EWIwzlJLfNK+ffpBiABhrBzEE/DznX7ZFSStbBJGMB5lNJExbAwwwddbd7CnTaYk
VPoJALDF9bwZEvtCkCNCwpydnZ2KjFKYhWgq2Dl1FcO/LEtIN/Dta6KxY9Zl+fMUuzeIyuxT2BnA
WYoRTzR0tPQ+G8RlqNIvXAWIubtcy4/EzaJtkdaPrTN9aBe9YkWaAnByzGVwoYoNdh9FsgBTjE53
F4q8UQL/cE72At20r6D5shCKSbeEzJOckpKJnl0AsslxRHbzpMimxNuZSPtNcPHcegDXbQrrCFdz
rgVEWLs4g+z/ZfC1nSwfD7svu+xKhCTaI4YF8KMJpPeRaPI5qU/uxKc8reLoOGv00JFl730TzRz9
ZluJAEufii6n2eUYaWgwDQ8oqyXzO6Uo+wmBV7hZ48N0niuoUmG34YgCQGuH861S7kmFPJyE3JKk
aQgWxLzyIAcyclZ1/wzP5gHH+ybKylcX9t3F4lTAJVJc+p24YvFz79f+sXMt/3e4QjGz+Fi0y1s3
Uk5kQAXCpfJcjCUAGel5uqPle68ar9Z7hNmJAN14S8gy2ULpV8CluDEur1tASfYqKl74oU8IV5Pb
RQzDfTPlZ0f3B68tuw3RcGarJ5eZAZKVdILYFdT1k1dU6ZGF4rlP+pCLYx4Py+x+qMK/rGJ9JeJ3
KJXwCafsp6zYdpELvHW9gWEleVmia6nRpaw1qXMEuHahW5yRs95PA29XNLILw46zX6rqGCMw3KcB
fAQNy5yWs947BNP51VPmRxekgTocQ/R9yOzadjNpUoQ3Dpn2z37KZswX4iqdwcGrVBL0Bar6ypjG
gr/2bqvh1UJjFCW5u5Od+g4UyVctLB7wy0Q1O0teIQ5vI9bdwMW4Z1lZkaxC0k13QkPwNi1gl1M9
1btO4e9w9sKfbhhCIywqv0w/vTq59DfajwDzVym7+y7Jr7MxXa6EcuQTG8vkxvKA9xTeL8vkHw1L
6lM0gE7C7Lhm9BVNRU69sqerce6nncmn8sD8m7IFAUkwXInMRsvKZYLeYTsXK4Kt9W+qygcSMO8j
zG+8ei05SqODrV/69lvGriGcHLk3bdyf3HmVTv/0zb7n808WleeQsCC6o1P8npcXg8agcXY4R2is
kEJXbvEzy/oQtiUFpK7zO38BYwfPkERnjT67KdNffV5aWNx9HLoLobpCPKGBWDa1a5XfqYEZgRrT
vgxYQt8zziQKwNINcUZdyQjfqi8pR+OrkScrs+rHII+JM/CRnxJGel2yPkcrO60pDFst03OaJJz9
xrJ24QQLiJXBK8ZR+CcgsZrFSs9eAcKel386WAYws/H4izZp/dRFEydV65tXY70SqnpwMEdTVpFM
R1rV1q/ifDd7onv0KoZpI9itRCwXBU8ioqL8y7ewYBTJGT/B1pjhu46bGzBr8YH26DtiD+M0Ct9a
aZ9RYh5LwuzCdsn3FWJiN/L3VonhOhfNzrPThUxy4GtxVrqHJbCPZooFiiNp9tjAPcLJ0KKqcBz4
BAKCBETIHhXnKVz+JjxNMYJ02qmSQrvt750hx+HJxkBBoKmZ3vqaqzv0fpADbAGmb8U0fbkBfx12
0NNbwcNOA5Jvl5HQannyAY0b9ra4NbLiQmAz1dy4MqGBDd7aYrWw85XGN5fJ6m9Y2BQdkDPsB0jW
OkOwPjNRYSzuUP/yeTd3JnAPhAg8diZH91wn1XuvszNmSGZf44PRks0x1D5meP1zTdWUzdTNXafg
qMoguJwG1hZ12DHuz4KvqfT8rU8pMdu9dczxP587f6XrDsh9UJ3skxFRgN8wQEBtQC6l8s6KwazL
rZc1aGyDxbe5GWsSHzuJpZR9vYOG0AxBI9bxX3s9LWDOC3tYmJuMHCokoJADnfTXDEh/NwCXthYq
4gKdzxzsl170t3qwyRRPLeydHtekS8d1mkPd7SjWngJjuScNu/1kWSJDBSeoezwBtnNKIQz7XRNd
I4fAsm5y8lBzOIOcrLiZtkrkwXMwcU+PJooIKZf1xRDkfrVFopKmKDBNfR2LhoOJOwiCnNIhfnxa
Z6GKecePiyCg+O6nZZPHBUm3t8g2rtpDoEZm/LBYPkCvX1mVj74SqEDUu+kvR4LAGiKO+WFS5jB4
Kr9wpgiP48SPmMXwqLmXf3hzFYgYwnw3AUTSDdRk+5cFoPg7pbZBeIY27KdR6UrxZyIWGmCFCy/k
l+w9cCRlYCOiXYAN1Hp8bYKJICpmz6ia3QaKUVteYmnYGZVticdl1gVW2BPXjITkMe8oNA0HISyB
7LladIwPNKrv097xPwe7Vx1L/QgNU4SHdzZu+qLzRpKDkg/LTa2q4rrUujiIqVfbXMjseh5N+2qC
JbocrSo+MJ3qqWpLWB99DFN6IqqrWuqPRHV3pFf1RGowS+rRf14A/glu+ECYg4jYJ/CG2c0jZV97
Nlkl35xmrgZK+mR8maI8vyTFQDBnir3buTVkeRUR1o6oWbyzLMTyOOXUI35J9kxa1USc6slJboOS
erhEAnHUZbhGzXThrxEO9vdA+uKuikFONbE/78fOBg6zIC4SruFaJLmtSirx4BWAQB2n7V9rh7gU
LCjNucmWmAhhRifYLPCe+MwRO49PdVV/jwGDbC8L3F279M8aaAzHjZUs35CV0K9kAnG7NbnnBoVt
X1gfOAsIg9V4U53KNvc9QUY78OLs5OqsPE4FGZs+frRzH/cTVxjFRdGP68OjkDqWhIH0CKQaajyA
uXcZwuOT7QgPQiRUMoArNRVCUH61vACXRDVWJ0YMetoGAIrYTxbFQ0eHv/9fHg9yV4VMb5d8CDbV
ENXnGJc8c80l2btJEu5Ki0jUtPO6u39dj3Hb/tSPuvv50dcf7f9eBfR/F8z/EWP/56/+W+XGP3xR
/3/+fBNU+LsP/fEPv9j/0ZTfm59ufiD3q9T/V+29/p//r3/4N2X609z+/Pu/fTWm1ut3S4Bd/VfR
OpqF/1GP0X7U/6zHWL/ir3oM7y8EZADBD+EHBoJp+d917pYI/4KSHaqDJ91VYLFqIWp8g+m//5vn
/iUIXETuQRQIgZ6LP+r/CsJ3AoTznu2HAbWaDZL4X1Nk8IX/oHSXPj+HfFrPQ0mKbAQu/j8q3Vsu
kKwoh9+Gqe1wnwYefJw+GrW9m3TUA2urlhWrMjPOEJaLoyKTC353x/uJIwTnb3GNmvLodxUdQRMu
c/ErCQC57npndb4UM2GPYkA48GEiRJmbTgkfFIs7Q7Vmvo33n+EqUwWRLSxlWotWJ/fIdLtDEQL7
Y6oyf9hjr4XWtAwx2fPTwkSEZZey6UWXilsgAmwv99wHpF2T5M5WXGCWspyUfUrqkKu7s4lR5wQi
o4+ZeE7hs1Nxaz2n8DrrbVJlcXfUCJl/u6iXXe4iuo0bgkvUW+gUvjjraY5IQu0mBpojOzRUyUCM
t0Oct9xWhmATaNCBU+7axmKqwDe5ijs2ivuyHueH0W6rmLq/nd8Y1BGENvWDsR4BcDcFbBdkk5fz
NI4zsJk8e8qE3+6Z72fjMa2T2SUXruN17Czg9HAxmZS989UYq0w7DeNTGjW+dR8pRpqHLpaMb+wU
7F5eMaK6HtirzgesvbDQhiXiBlF9rN60LRyw2QOD5k06D903WZhx8JjWNYQwW8p2OYUGgecWZ+T4
JjnAwBsD2U62GMrS5c643KuHUJHTvZFKYGVaMg7+radFeinHATORqYOAJEZXuQ+QFwfCv1HmAAFB
7vsGciqNLgpWr/cjiwK2AAmWQpxDHFHeMKRQMaOZc1gl3Lw3hIHSxsRj7xETlUSIPVw52Oqi9Gl0
wfJVC8Wzyly02vCRTO850W7AXVruXGkQB4HHRBXitQVDK6qrHsoNxkestXWl3sasyill2HNuwMjh
m2iAUdwFOiUkwQxgnda9pvchFIKby9BZA7/jXlcgeFjGz2SUm1ztOp6pdJ1yJOkzfo/x02lyQ73k
2Cwge4J/FtxjMeBnGcf40pdO8M0SYhXiA7i+HslDN9cJ0gwiyDEgKv5hvLoD6j1uF4WeV3nQ3w6Y
QKY71MS22KlgHKzH0oOtz4ZV8LBpEWLgbKqKb2oIgIJD1E3THQ7aYgYv/udR1MiVEeMxA+FbtICg
pvepiaV3Stkk5DmdgAviCAkF4vhvD/sBAhIdmbWVsApqRjjXMo2ilylFGOntwDeu4V/R1L6FGPac
27Kohvjw14/r4qAwfzXC8KZXFr6Y7V8/dN2YVmQ4tIM9sH9Y6voqxabK0+GDKd3mPZFPXjLInZdZ
ig89MMFXpwsb/6L2xpxZ1xywY5B5f89rQvWRpbP3ZjFWvcLOom99lCrgzPLU+8QBCxaQTuQ7J1Xg
5DBAoD/CX8JeTBKr3fAo11gDdknoQDqs6t+J4bZeavQmB9+qipugdIJ86xV2lh7QRlBND7FmorTY
ctwjQ7B/TYNYiYIkTedLPr9NbRjcNIFdP5MRXbD4w6j7jlM7OpdzRuE9kx1FUmkBs8vUcUUEUVO+
QDuOLpQcm2tp0CdsqqTN79xR43fDgO6eEvxOjNfnIH3GR/MYphOcU9KkSYFj8Kn1fejg3oRAOzJm
6ZIAyHcr+4DEpNpkAnYbyBanoefaUcRly7aIkszZzBI+UyuC+QGKsYU/EWf0HaLrhjlQy3vgWubJ
rDMxyhV5OQfEpIQd2cmbVo9yx9Yme5jbFA6TXzPJWcC1YqEnPS+UYuY41s/YTPIboGq/7XzsfqF/
beR+kfDltj7nrHWB2SD+RVUEnpgRrVamu+JfDwKeAvltiujK8dnGF1SGcHBL0xzbgo/uoFu335HB
Ul8uHg80Ux62XWiIxLZpoRts2aDz5OZiUCPErJTNmCzT34b685ETG1J9G5Oluclb7Os2Oy1+I6jS
25EhVoFySnUHmfQV6b9QwRhJcyc421xV+dUSkUPN4rs3X+Eqb8GYnWGbj9iAfzRL5J5EVTvvWJEb
hiNWoD6zjNnaPo7t+RFIg49VOVHWppROhKJk1jrcRl7u7Knn/JulLIsLu69Y8TiuuarAAWxJ8Iaz
Bm7pVNbB8j7MNZJa45jqoNKWfUVi580nVyOkPNDi2Slvco21nSFggpIQN3ZYe84lsZ8So3qVI4Uf
DO8Y8yBguBZYmx8/HX5DX+uuWQ8nO00p8jwjlnkL7SJ4t0LMVETMtJ+6HhnF53NGugWBCKzogwGP
G58LflQBpSrP2zw62+WgHjxsELtQkJ226xgh/8y27n8D5FZ3nPAsC0OevRscBvpLCB08Is5jtz4K
SBZNvARXpoaPv+vKdecSO+F966AxqrpZ3YO8yR44MKs9MSrLr0KM8qzDVHDatPF1WBbLV28v4pdZ
YO84fa/vJSEmbCMJoUFb2OxIlEiGNx1nxFm3iK37m8pJlyfW1gDkYWZyMGhIz8OpcKWM3hoqMtQn
pZWn+xwXFHV61jG9tPNhvk5pNN4I5eRhd5YBPLFL/7zHYu0ATcLw+jvUI1OsfGz7l7BjeELHuaK6
smxZuE/ihflOpp1DnVb45xztcRljkIrQD7FECg4jXBbC+yDp/Sp8DYlMF8tw9vBZBbvWjspjr3tS
MlQwsFZoVKPt+7kJ+xOLP/lT5UlDNB+H+waD47TmFPnlckxFwH6ZDj+r9rgejYfxn/cgfB4iaCOb
sDYVY0LSGzjmklyGr45akSog4nO5w0boe6fY8ZKSlLgh7eEp8jFGHbXeMwIq7q6Ja+vHCUyKpQyF
Iqb/co7IhbEckB8RKMNxwqy1TdthnWnMLWe3sIII+5+hX6IsgaDQyoaIcjYKNHSwxX3rgaxD0cO7
RjEMdQ19H+YPUYr3JvPEu3ER0twxiwa0MHseohwmzRZ3gM2eo8bPloJGHlpzh453YsAdT9Bx2nh2
9GUiDQ5kh+O8uIryqH/FstfecyOHA7Q/Uv2A4sFYxqaQcXOxLWq/QaDK8mg3/8HcmfTIrWRZ+q80
et1MmJFmNHJRGx9jjpAUmmJD6GngPM/89f0xXgIpd0VGIHPRaFQh61W9ktydg9m1e8/5jvEJsWQG
WR7M5LB9ZD7scAcCT3hMBhAAKvIN2bALMr3NOGoX5qUDT2ajQAFgoaoVzLXYH4YH9BU5WNNIVsfe
SX2AfCQ+7W0KvHbXF6O4mIUn8HlbsXtNNqIW2zidkgsHjzf6oIl9VVVK/6I4unPzRKJxaO3aXEmn
hYZp3IUGkl/57cQjGVs5Y0ta2JDMnOscAIc6ij7oOXiGbUoeSj7x/FtIOYAfWSMJthF1xlfgJzA4
1YI0OmUPBXs5le9UEOV4aXpBs8WpBEXHNDAj2AUgWMHLWkgJt14687LjMIDOFkJi3SyUAd/oeHUf
smRhW17aBrWp7N2foTSAtC18YoGm2tpPiWsRZJhXT74MmYsgiePPB3Xv4rlQFb1k0GIJTYwZdiM6
gwoXYbDEwOWjFnfwRVGU/bAZ4QLjmMjHIj3kYqlXlU6IVLlnqnQjisSDmsP0UV5x8OmgeTt9/Mkf
klZvQ4Itvow5/NJYk8FBklfsfaodEeH+aFl7tnSvq8tkiJwrm+EWoOgc2cu2ceFJYwIt7U+Yo4ob
JEBc/9npaI+bPjE37gCtZR+iRProkAr1FTzYQM6DnzwpVC+8DFk5/bCZz7zzasQT/OIoUJe95SIV
sJ12vBSZIIFQ9714Ctowazfj8yEgok1ik92bfkpCVDDI0tHZ0P8YaYd2CLVJwCMTx+KoEtDiG2XA
cH2Mr0Uspkv2f+9SOh4ctpahHk0/5oq47ZyFLFwGPWQ9+cxh1rSA5TPRNTTA5dxjPXL75YMZGgPe
mGSz60yn8Q/bCcqOlvnkPYweTxhSayW3Yl0sNPo2e1uqob1o7LD5QPm9OrAss/HmcY1mXg+EURkm
Gy58euvba2RLZDX7yhhaFVX0Q7vMcMQSo2VGRCm3GQFpJGMLyIiafvgFkPf0YHlV9A56bcLoIVe/
eoS473MIc08+OtAP4RyEe8P+urONlcM5KxbiJ0VTmAc0KuNP8n9IFq44snzpQNdWhHojitgVDAjq
Y93M5qvEizSgjEaFChYdq9MoXf730qvn+wEaIipKIJNealbuCVSCDVFeiEgQJA8XA+7Zqxk/25HN
EhYoZ0ovM/jFAidE9+2K6UFQeZAN1HyOkfR8JIjIvbYbXLSxcOyLJZ8uqN7me2XV9hddjQzR8nqM
wLy1i4NBMWyO7mwXD7bl4HrmaU/DdRbVX05z1h4Y+Awfp0yaowkp4BENH8pcD/dtZ9NuDVrHv1ky
86OcJLh3Am8Bgy7+kl/TDE0Yqy+8I0FIZuzWj23vKi4n+5Ld52eENx65az1czJF09jBkGf3g13Bv
BLEuIA+NSyeKDE0fvFbWRe9ZJbPb3EMwNpKqwRJR8XSy1/sAMB3H9w8jvo8vZeyH255s051TSUrb
1fCQc/Db1snQPOBMK/aRMw63I4ww3fGnhrkjZNl1smtEo/bFELg45mgyMju38p9eQowBMuL63s9a
lDgaGZs+JE0+6JXK1N2psm3fFUGQHk0lrasGIyukOz+gsgRHbTacQqBTNojzw03mL84BfQ/1ddBm
KLYACV2JLhjeIdv6toTVdEV50V2kM4O1rDdi4zmeQtbXZp+YBA81uVVNzN7MRv95TCbAUDpoKS/s
rtuCFIxH8Iw4xmyeT8Kdmti5mIrR/wvmRvm+wBLJzXeCYVM1UYZofsxAKdKBFv6+s5PhV9bUHFwk
VQ3rpA+/tCH78zha7vyXGVV231ZV1V9pVw8PrbF4iSJ7YbknoKf5ISbSBJCtdQvFbOd8bnDTMOPo
ZXFMjYEblBae3CRUHby9c1hamxyB1QWPMcBT06hwVXDH/Qfl5dYlxTiTlEhohqxVWI7siCTAVtDo
1b7t8QXUwNnQj8nrAsrbNi9kd9B0413wcdaTmJhf2oMBmZUk03UUWMg4OH9s0o45JDUKeyvT9AEs
tQwu0ddyNpBdMV80MK0/Tp2Jsy3rgk73bsd3nhh6fq4gshA7NPlQbQY/fQhRlz3psAA7TDO7fAQi
/di0YXefTa5pLseGJv7BpFAbHptitQgYv4cNSvru+BCrwQruZz0QPdEM/qdCZIALXDEe5zaEsDmF
q7iccmDeEXiUvaceJL1odOx6Y6TGw62L5hvMhYaOWT18n8YubXY9ctg5trIjQHF1pPK00CH6wOCn
oQZykA/WHRtg/VcvrfSBZnqNUGfNv4WTbN/aHP3LozU3weWYZeNlySHpXQ7h3RgQyTh05+yvJe6q
ecvWy5Q4yq9Tx5uRHgfRBSZIFop+ibDf0EPBZ931W9Ct3s9mFIDIteHQtuvMjA53cAk7PE7CXd6Z
Zei/1HqeL8rebruHuUnJiY+6J7bj/EPiFXiNkQ895HN02fNrj7B5eNE9N+1/qhGS4dWSdIu4Co2H
tBFKv/W0NLr+4uXdXZWAkyhpfm4nx8Rf4rAQ75smQaOwQOKYWhF/9TEmX1hhT7/QWB/KAFUlHAnU
ctTMSCQ6x6La5pwMMWJ085sB3fAlx8ni6DSB+2TlMYELoRPdJtwl4rDcZNe5AUiaCDX6Jb0eGuut
PV/2kbLeM9/gNwhf8yo476Xpe+buPaFcbFOHxrLUbaC6+QZDBZHJ9tIVDNxah9nb4kn6+0b38Z1o
fPk16KnsRjSNwb5PLVTjJZnPcP2KJxMhOK+z+ZfM8amjO4s/2ZlDZrMVkGzs6+Rq8qPmNg0X9w5x
2MfFovovyGsxpSceddvyBhE1QkSBPzIdndpPnSqi+Mbyiu5Ti5X3qi687qtXIDvmaJCW9kNCHTER
Ke/BTR1Mj4m6C3pkZJyHXNpdY8yUd1Plit9Iq6+oH5D50kwFPzVGTH/q9tHkLhUgah/8SPPaCUIG
KOpj5OBp39QOlKgdscfCIprMEh/nWoEZHSIgY9hR1bVVCP4fONi7DzPzXJLgo2Y4uEVMLVWOZagR
MoS0B5h2D/lOVk1dXXeo+KNdGVFUAfdI8azqSU7VDZWJn+xq9KV6D9aAQxf3FOww0CNC4X7r7/+T
9/O/2CAeyrjo2v/53y91zDVkGgpKhjDg/k475nWpghHa3k/PNfOVl/dCX8yLikgcKcNuyyiR3HA7
aPB+pFb15fXPxr75G5dm7da7nm9jwsfeKYxH9/8kttZzh7aW5fLNK9viNvad/hjOMkFmhEw9lnV/
UTpZ/94KUlTdSY8t6vWPX+2jp5/vGnoG69FDeQbH6Nm0YPT6JgSWW9D3GvK1x2WNywWOHhctXJW7
Rw7gdCz9cYZ5YpiQkaXpDktPq2Bez9g9UrFNAqMOh0CwlsQq44iAjItM7X2smT5sSxaxalcKk1c7
Pwe9+f4//QmeYdMF7eesey9O1NNLGBkdAQijGb4IGUX7XBCKcRExuJy/44nRwyM0A5SSkUBcujrL
xF8Jwu720BgatAwY0VNsObbUaCJ0PKWXQW/N2TWDzMA+IluHAabSFvFIuUgEkHJOHOvmjZ9w6qLl
KaB0gs3BVMnX/A91dheQ7Uj68UTI2jJI3WPURLTyLeI7xXYYaDBCcV5lg5SB3KOogLoKb4A4TaiO
0/hJtSk6oqWxyJqVz3fBqiH4/T0QPKFi/f6WyBe+pIevWFO48ZrwPU+vs+OwX5igJsgL9PVAEDIs
jet8CPle1B7vumiMMUZ1jJuSdOEiPz8VMDF4TkhHt12k0SH8xcmAEaEDqhf/jfd4pU+dPMxkpnDt
NK8Tak9lC3H6DatEL5m/UjZslfEMOOkMrTQL62rYWzNv+Le85qrtRitS6W1oA1LdsG5GyV04k9WM
sRgBOziziuAsAsJi6OIFhzMGsi0KH91gfaySdSxESyBCvNDN9ietA0CcQDFcolXaJFWHmgJ6IoqX
MwdFde0hsS/zkr8wt35xdErew6ii6RrXDE+20+JZmLFGb3w3tpH7iD4BOa/TdVX51jO2vgb/CsjW
QA8crThsaa6SctHFnF4cBhdRFdTAoTqoEsP7vxfV1sZyd5QVPcg79gUNYjRmHrMzZTO7lyFchuzO
L6IJzEU9E6S1aSdwbLsMfAI8PLTC7SGoJ2J087iGnrRBLO56t6+/Hfa6Bp5+cwUU1VPCNz7/pM9e
8IXZCkbnNeuKbxLdWbHH6azvmPaTszmVJbF+pXJu2wab5r6JY3u+Xnw3TK80etr5WnHuvGeA0cZH
v2BESza0ViS0uSaFA4v5Ux1yV2iizHim2l2d9kyfPJDQ87UNsh1htymEj8O2wZ7yrXLzdLmkcZR8
YUYh5sfXf+zpekwSumvTUHXV+hivVLSzuxSNcp5VGhCw6YG+5xCAsCAmPjgXeXXlxg0tDVG6lEMK
oO9MdFH7xktkn77mfAMuMlnuWqDV0q7/PF/+LUh9QZ01A06iJY5HsDy4sIeogxePtsjfUykus1GX
fqCiLwCHEXRmUbOurDK0v+tIVwXWaPgQO5v+crC1CVana+OM/VORsI9zgA6CS2sYg3qvfV8ddY8D
b1dzXke0oRcLaUluB9ZeK3qtx9evrn1+eZmwO9LzpNSugyXJsU9fAo3VUYBr/cHhqr6lWVQQetcj
/N3Q5PBvOQjjtwcY5FzhrIu+VaKgI2pMkwZ74XmBsx/9AqBGKVz/fqa5uxvmJPkAu70jY8iS+oPf
z8m12xe8NiIg0AmTi100eIJGeRtPHiqyRdL592YnSXdVUaAemnnr9jnA0/cKvVv1N1bj36/aK4Dh
Xy+PsfnFSBUgSBBDITWyhdNfnFkl2cNl9qNz1tGgw+CGY1DZru0/VAkFhBuvHg48Y+VtBlAOSX1J
65hjBSezrnaiaf/6LTjTJ6xfyLN9LR0bhYJrO+as4skVKhyq6HWtYDu/hFFrYbTyC2jivQxqDAju
/HGoB9JAdIcrbz+CPAlufL+IUU3hkQP6w6w92chQ+7+KyAPLkuTCvTNO6shDX6X5rybWTFt1Vee3
PRlV2QcxehNHxHVGy0JTfbWrVj/qnpEDgjtBA/L5/2oNumLeIAZIJ3MI0JJwci/FlhwgoNqUHYkk
kJk5gWocUc5GVzn17pxLrLQjk/hwGywOoJ28hG9JYVzQcMw4V0T8lSPxKDmrSPfFL0r+sux5iGqj
aA4vCnzXF46r5MFDucBZWIN92Jceh3ImtUE57Z0kq3HxmdwHYzAnq1rAstObOavkxxYtMNi+kuMb
WjBURZsh928z7DZyW9gy8/dOl1OBE+yHvbLi6iLnkz0Ts+cb+/8Mm/n/oVJIGraaf09uuSub8Wf4
80Rc9PxH/pYKOfIfUgsed8cxHCwcxUr7N7pF/cOlWLV9Mnw0/8Zbl6F/KoUMfwigigD24lKPP/+h
fyqFtPmHbxwKROGuhxRtvP+E3bJumv9aF1wEcRw5qHls4QuwMucHj8CVbTmCGoaBkgokv7J6cEtt
0AYAsePlzLv8Bl7i+MZ6dLq7rB/rrlInZYznKXbzsyJyYcgj0EYTrZdZBfIKSbVro+L47T48/P0z
fq9VzVown/46F1oOBRuXkZOBWveB3zYxv+ituohCvQN90n+WrbI+6Nlq7kvQKbiaYm0/Ot1I8mMt
OuBGUd6pD9AjWgCHNa0ZJvI4c46gyjwHuaTrr1zCkvS9prfD7+L5Crm4SbtdxtpPlDHBJym4+zhg
ZiJy1vqZOFiSv5ty2edtKaYDEo/oEQn7TBOO3mm1lfaAAqcUpP1s9ETyw9b4hNZtBieUwd2UtP0P
EePR29kjXOId0zD5LUHI8ggkxeZYRbEZXoMNHD9wXKARiSZVfILVRNu+kyXOBBhv7ZqnMKb2JnF1
PlwFI6bWv9mKEgg+rGeWJI7NBOlwfvDSyFws1CQwrqMUO2xLu2xbzxMcsXxISYSVcRZeznUVl3tZ
jc0dbUPmAWROI57KcVqp7f8p2PtzSn6X/M5aPRRp7JIDUI8lGN+JyjzpoDvQBE+ITEVvGk+71+/8
aa34/HwRn+Hweoi1glHrWf+3Gz8wHHZkbDm72iFspw8sUmTxPuyggoKgFLF540lblXvnTxovkKeZ
9PO4qfP3KIITmxqOaOS1VEUHcrLMzI1ppiHaa2aO9y3nDJJjF7pO/tAhZwkHOiRHTs4uRayjaHXW
QEThO6YzJaXuo7+cBd3HRrj9SH44isFfKaLr+GDVc0ZzCrHNRlSDTUoZ02huFQY30O2ts1mmsbkM
OcaT9CyDDKdqkIACa6GK+4dV2wZXOfbJdjEL9bzjQ73YOLK0PrVDW+FUzH1CGWp6LldpXsOq1nQI
2fayMH5aGCgVb1SaL9wqHwEH6ij+k+bH2aHXn2XpoYSX0MLRpEc4waAQTRabZd5dwNeUb50jXrpV
MKpsTrBGeQjHTp8NmZpek2spITA4EOdLK9lhmim3ll+RrtfEKEmyMEH10sfhIycKrAFDltd7L/ar
T6RjkGic6ubjohsomUy5mMxoKrvsyKGy/uIgecCKkgPzHz3+lM+E/42H+6w2X59u8OC0lDmgaGPb
ztklCwvj4dUOHEwmJVgfnEnxNSEbGXigiSb4pu3m4CGL84Ec31iQnRksS+HtcX3ynuaqzacdRyga
MUkgU03gVgdFuyz7ELRLFdXBpgCJ0VLYDP21GyoPXR10pW7jQ++8J/8DkGrntT2h9ImVuW9Uhqen
9+cfRzgH1gfDCd4Ivd6+315dt1WFVGtMfcVPv+0CUexxZhUXC3bFNy6kXKve0/3BM+y9NmxYRLz+
+TEr5Ws0/bRYO9si8n6H9Akk8pIaxqa0XmveTBorPzSqgacadsA1J7YR0zMh0/KNDfHPfdjzHPZg
z3bZEn1xVg6XSAtqPG8MMzGZ7kMUNZulttY101vDk1I8aV2VFW986vMGeHoBECrTOHOVjSZTqrNj
QQcyoM4RRqLQnPEmdbmay0PSoT5wAouEBXReEDV17nlbPCceuetpxPy+S7W6yWrGUNve7sl8T7wW
KOaC8WHeAIDG2pzaob53cE/h8OV8KylVizS4QTSNnqa16SjvcrJlPg91wSoXEVaFjzjMOHIHKUrM
spfDfe+lQ31gvKfzK8a08WcdsQwRBrMAyOXQjdUFTkfPYkpujthMnqM+GekV5aWy6K+T/WxE/C7B
28/si0nCygmoLgHa4lMBNZLf5/Ab9JYVdTm2PpEjG5dhJ4ikql+qNx7rP5Y5CV6OOoYbLDjyqLMb
jPYU4Avjvb2NfP9n3NXJBXLq+HqCmnsQqSr/q8/TiNSpEF1O8qevEYEPlJ1uniFhBtOAr2JeNli0
0QxojN7RnOGne33P/ePFlWL1UtOisekhg5A5/cQZP4crwzLbO2rKeV0jydwsmq8tlY6Pr3/UM0/w
5LldP4tzu0eXdG0Frd/lt0UilxlHL+qQvUTLDNc2do69Wjksad93nysM7/TNLT3dJEVQwUFwvXZD
ZzJiZDH09q83vo06X0b4NrRE2fVpTbm2/8e9Ja/bbqpsz7squ8vMt+e7scJ90ughvQG2hhiaZugP
qGjdNtYYwXApEujXATyBjRbelE1cHwuaqm/cEnk602Ax5Zsxy+C70dRnpTtbTOlFBGOdMjHFn8ok
vE1L+Y5TNzUf+C+dbIj9QRBVj+wPnF3jYNnC38qfFqsBgGRVPiEmwRxIWrfaQjZbEzPyIKK4gkat
yxBmSQaGDSGssZq/z5H/tmPxwtPE7XVpVboOk4nnpfu3OxxMNcQGEBMkqc7uRWXi+pp3WLwXFkfg
N+7fH9sA3RGXi4MtzVGUi2eroNu1ri0mYo8yRIYfLeQjFxCI829zGMs7T3XhU+Qu7mWV94hwWtv7
C0u5eqMx+8L6sJ4PeYi4XdSQZ28PCGQMaC5Rwwk7bnyYINE99kjAjhqDEfnqobdEb1ReZ1Of56eD
H21TIrNM+Ly3p28Rqew1oyz87mgTKn3sWlo+OwRedbEpvDj/iHGguw+DLOt3mbagUrZVXTMr565t
yyInI2T0B+PuQgiADoDsuT7Mvc0uhRDQfEwW4J3buhLJx6FAqXl44645f751ioMwZbd2IcXJ9d//
9oSUMY13VhyzK7sgwPG/MCzfukHTj5sR/2q/XZqKLAH2F1BZqosB8grhDJIDWu5+R4iLfs6I0cGJ
j3N4eOPrmfXinS1RFGcsT/ylDi3jsyVKkTEWIz01O/bHJbgam2a2AKUFRBXDaLY3NHq8B63ggO8G
MQKV6WG9U4uBuzlOiYcsPhotJMlz5Lc3UzLQitVDneO6bD3SkywZWeMWnEV1l81t3G6ZgTc/rYlI
uE1lkXC56+xF51vGAXLYC7+F4tf6VdF/JNUFX3DfR9GjK9BhwS3w2+ErRNEpusW0yCEBuVV6F5CI
89gjJvoObSD75VcCNFxNHU8HuLLValXJHfuAEh5WflthJqBu1t79LP3lQ2AP08/C4YvdYqDgXDMY
q+N5GVYKVB7GNSEHjVOw3jhx8wBBP/i6IEJhJF9HRCQverhokxXYsARh/hVRtvsjdab2p9RFIPZC
RMQOmqXPvkVtBoxtbgu2NhM6IGaCJs94mPFyuBtifBzraIJo+sLQSb13FZKFN16jF95cl31P8ALR
4kFlc/ochiEDF7olZMtp0ZLm7iBDY3KKCLQtLmd3tP+L5YrddXWQ4W9gZTx78DsCqAsIoYQSBbr5
0Iyz2vVVTK44ceuHpVGAsFdHBXFNpv2uO9MfIlnrN7aWdT06e7xdFkxqi3XloKo5/dVUM6iy3Mba
JaNUh6xiIomgRmOmBXsvZ//HBCL7PYl+MxJW3Lyvv/x/lMu0H9aNlg2Ozc2RZ9fcwyHmpzb0n2bM
QbjIFcVTyOV7p8sjGu/5EvXl+MYKzZvxwm9exzLG4b/4h7P1UiMJ8Vk1IFqEcPDAqEEHK7FkEBtD
4lW2Slfzqfc27piNwwX0WhfonlDN45CQKAGRIDDucS6EdZ16SGDRMlCiIWL3JpLVllg9WhFyvF23
TOKvMs0SBM/WDPpMLwhMNotqWAOcKBHRtiEobUIEGpGqAgXDRmfrx++hMWFnsOmiW9s698Ae+Zlg
NKSJaCx2tZ0uZLBD5HmUmoYTWs7Jux9Dq/1Y1vjnu7TL33VZkzy0aRwI2C5QJjfgTjN5rJoyIOJ7
qKKjsZblh2b1BK2mx/RO9Vb0V58RrLiXxDcjMpUJlTRANIIvxgBr2AYRUnYrR8G+5sVpjTqe8aQN
ct8C82b8BW/yMEbjU2M0JnMnV6hhRy8Ru9hOO5o2cK3+EgS1xcyLG+/9PBcTQvc2gXbcuVX/Hpd6
Ch0CZvr7MkUht1mnfE+Vq/C8z0k1glxz3PjWEHYjSFVJkeSYKtb3ZdvXWFcEdoldONmSkK2McIpN
PveT2RAXSe4m6C8E5hhClLV1eye7ISMSgVdKhsSXOIijH7U28LHQlLh3yJerL3oYCRyORNn9xGyX
g8d1J8L+iML+JVMPOogPvv9hjjr3IzZp/6FRff2htcz4afadHMBbF4whAFnQGyzYowLIBGsg2eaV
FX6epZ1idBksslxaRLJIF2l10a4kQ+QzqiW3PcTw8jVot8Vqt7CivMekcCckS0ll3SrdM7iXC1XX
DuuXOFZ54qdXrsv0A69JntynBssRcvdCXiqvxIqn07VXCegx7L+9/g6/sG6uJxOXHgblDr2z0xUk
H7JUl1jodk3aePBHs/TOGy2SOJuhPtLEeksX8MLbux6xiZFam+5Uw6efh1u1N4y9cDVUvrv1clg+
eLlg2xau9cbm/2dj4bnfT2Fl09v3+Y/Tz7Lj0AJ4l/hIrxriKSYCHLDae9blSKoy0dSd+rgoVPpH
CFTjNaVf+25MewZLr1/iF5ZJDysQNRKTBA5mZzuFg5djUclAnI+N1/WibSSJPXZqkebZR90Q7GXX
F84+rxlz/RcfjfvYoc3mMGT1z+pZr8kkGb5NsIvmNL8ac7c/tDTILicGYlcIzmr8iVP6xqHhheOO
p1BPeXTIlPfHocFq2lGXU8YjNdkOTlsa7SvgK5kSSBmaFZP5qnuPP8fHU9bFb2wQLzzQPM/8Vr4A
X+J5+/itILVLFzF5CuU2NEZ9B/REBjUXeIuY2MUhWLXV19dvL0X6nzsS4xvBcRv6Lfz9s2faFnMe
p8T+7HCcpfEBNb/4BsYcf3ffLM18gWRy8nauzkIk3LDz5EFGDMXfDY0TgQRSJd0t8jKZc9qAXxfO
JTgDXGFh5hTrKldYa3Q2bu8w32ao42IQW0v0YIIm+avoB4rphj7ibeawlu9irwu/xJTE5X5Euo75
dkTlcyj92v0ijL3gzfEmtoNRJK3Dpu27qMaTjKyWpUw/l3439jvUCKDlrahL5s2IE8YjMyAPrwf0
yd3eVeCVGdsE3ZWsHWbHhEZnLF9jgq/GkiUAznykmRXTE/letHOQ7OEJj08wgD2GTEHWEfYiV44e
kVfgvHy7/GbMMCF3sXuZ44LKdAOOo2cPmMKUVLW68tpy54be+HGJ5vq+iCL4hn7sBXhInSUlYtmy
rcfMT1GRR8WU1FsyxwK67X1kfWOZhfpTASiNUMkAj8UjlZIXVonGhQ9OCPvPchz0+8aRyS+qvZhk
mxraDxBA0SVw9YPqF47kAHBIm/Vwhktn/ADum3SFCd95vR0BnIMai9J+gu4bRXBnqzy2cNyOTXhT
jUK8g/FV9TuikVoEqig9oO22kKjKBh/lcRlM+9NHYLjmDEyCSABr7fEpnIx490bvCqKg7W8c2wGO
NCyBzWCrdqr684RY9DsrD0AOKFAt0LBoqi6dio2d08fcMChjO2429lSqH6w6Pc8SPO4Rq1UJetCZ
owFdQdUSdgO6ib9lNeurG4Yki7yUYdKSDBCgvDvkdrkgfPXLtN6LLqQlyYwOGGNpx/xm5NLD00iA
cXFsTZxCBJt682XCpEm+WWzhRRioU4n6Vg4YICkK9W6AJjdduKM1/UWyZDDtcFpP3wVyl++hz9u0
wbzg/6KC0ebKSxFKHGOvN/FFNgtdX8GHbUBsll75y1mWqeW0jo1U20Crt7pZy+GmCIZsAxZ//jrY
7XRdoT6Kb4HgIpwpI5V8Xi2chEwFlY8H1WIlikkPwqFVY0bGDVLr7jB7M7F2xsLyvXEqjYF+mgdr
X+tmdnYEfwl+VzsiSmUmWC7b2pXWijDCTY/NMsJn7aeQy/gmGYrVmAihLQ6QybmUolPxdZPQXj5U
tDXeqspfWo0cBtk0AGk6KeesjwK1Tk/IFeijKAfGo4MmE7Womo7kADGG0nS2Dei7dwKTBobakq7y
6wviC1s8KA7IGms/boVznG67poMeaMFtweCjiys9lBKE1KI2sR89vf5Jf+6snEAMUtO1mGBytf77
39b6rura0JAOj5Y1Wqtk5CV7GY/hD0svzVFXUNgGcFNvbKp//j5Ee9InKp3TppHm7PeVdVsq0RsD
rCtYLlmiZ8652PcW3L1vXMo/t1I+isYFYkEPqcH5jGmenEygvjE7myCg25TcAsIraE10uCvvTc4V
pUoELQYI7Y1d7c9tlE9GjyyRKvFinndTSZrrR4kQaDcP+HTpmLibGa/3nY6I+EI7M+5fv5UvXVRA
Dz58UWJJqVZOb2UelSpurZxGTQ6bNpHO8qBpw7xrpWzeuKgvPDU2Nw7MK6oPofz1q/z21IDtJyTK
s9xd3BQ02eqOfJltxbQeo5SYk8s2LKNjCrn4jXr0hZ/orNJJ9OVMWPHFnH5uEjehTBrB0+qO8k6U
WJOWSHmfFp7RN07mZ/rg9UQuORzj67IZ3q2qktPPws+8+iE7nzCDLBy+VnMsdv3QEWHqY276aZoE
HGlc4GXdEgk07qiYgnHP9+5w4i+VBR4fU3e5nSOlWmh0eGr+4/tNz9NGAIv8DFnc2cUwZckS6QEI
HtOENB6ZLhdFZnU75UONef2jXrjfyrFtNKsazY59vkpEie7AcqkAI1U8bmDWpLu0hLdQ16N1V3T2
sOdfdM4bq8Sfy7BU9LGZkChOV8zUT+/ADHVjIaUBQi3zrvCYezb9bJIP8ffblpq2IcGkl4x7JRuI
jc3cNAK61+u//IUnDg0+p3hOzcxEzmthhgU5/g0R7ERS57+wmHlfycBE95AzKHz3+me9cJUZhDv2
qpxHRXA+Kmho+yk3Lb1dVILgOqzUV4zDvGbJQSo4nkRKiE+6C+o36v0XPpf2Msu/i5Caf1Cn17kK
taqn2fZ2jU8wUOcKoDOc6khQz5Hs1eHYHWPkyf/5OZYVBJf183gcodnZejW5geXWzE+pB2A7Hc0K
O6KMLMo9LvbuDbXEC9sAv5BmG9W4Y1Mfnv7GQhirrXhR1uzTfo/NyEN7QuLefsB79mOeO3WJ9diQ
Cwi5Pt6/fmNfeIiIqfOkYLfjIp8PxU06RBIBRrQPIWJ/KIa2v6S7L27x8PlvfNQL95IOBKWDUurZ
P3L6O1PPS9E/odaRy1zKG0dV1j7IPI7IOY3kAjtJavYqaYP/+D1BCSs03WMUCILt9vRza11knia/
YS8xlv0ykAw/C89LLiXRthevX831cTzt2J5+1NmtdEasBqPNzDQOaVtAp1vxIRrx1Ruvxfr3nH+O
stXa0aErTiV2+pNoU/a2SOZ0nxRRcUOsd3sP5EjfWAXMMIPI7PD671opbH98IFJ5mhzeqpc/V4z0
HCITu0mzvY9eGCFLgj8cnigbDekVi6rugrgZP9R+RLi8B47tXUrX8DPDteaI4wu6I8wAKzkU1AYR
gjEQlaC1MXtVc5Zcahkwvn39G9svfWOP/ZEuBdp6qpzTS8RpLqGPgamQ+MaYDJImzD5GYxV19zV9
NoazZJnF20Aqv9uP1AS/epN3ZgdIqkg2A1mz6TG0I/NFIODpsDkmI21fIJhPTVYx73DSNvgw5E70
JOy2fjehFSJiChj1eEAkNECV9JTBm6I8wCVK5zb9Qx/kQmV39Ehe/61/vsN0vxB7Sh4+wyNx9oBL
kzsc86J4ryY73qR27t1NXvotCJT9+PonvVB5IORh02EmyAYP7+T0qib9bHJjpRARaRgfxryVh9QZ
vIeOzLM7etnLQylqkKwUnbjDkbGkeo1wzyP8swYcDM4kwuE2+BoY5rz+3V644QrpB4JeZFt0QM6u
wlINmV/FMTdcNsWxidaAhApiTDMky70kx/0S/F70xmP2LDo8exMhEK4SCZ/yDzHk6QXxYnwJU+UT
3zLMSjMMSO1bQoEXIFHFOAnw5LLGqK9Sifs9nW3zqMOw/WGLvvZvg6Gdsi3AH7pDwYzNHDNMbb7g
L4rzY96TCHt8/Rr9WbZQFkO/XPuzAsGKffZtDci5vqR90xoaNxhv8wys4JSRpTIEsXcFlH0gcK4n
7k4VfnLHsdf/+fpXeGGJ5CvQMkWLzX8/P2G/1eds8SB9ZIhmc4nyQ0Moz0/teMvn1z/lhQXSUHj6
yl9PAjhRTn9oPbdoCpYgAhO1ZOASQCWBtSLE25i+sygcaGS8/ol/vhqrxA1/I11CtDm4PE8/Mp+J
rCAtR+9Fj5uVpgBBKnox9S0K6eBglZF8+L+cnceO48i2Rb+IAL2ZylBSusrymT0hyga9C7rg17/F
fJMWlZDQtxs9qkZRooLBE+fsvTZE2uDgqLo9BfQS240vHJ2Rcea1n8dY6A/dDHMgwYJ147Nd/Owm
D6vBUQHiBQXrGlTZpDAJm9Z1QAFJumI9tf/LjGcC4K+0GuMALA8sEoWG+Dtp9hjtzMJFv3L9Bl08
n3wIpMKmDwfRJGN1XTILCMYFzuJ9BZcBGVyxZK7FiHU6jUDjQWV3Ih3S/fWLWu98dWxIJk+mRbOC
aer5r0IU/ahVSYppXNqSFqFtz01I3VqS+mYNGRHlpZtaocgj65MJwOMPakv5y42L8ecoQQ9uastv
/irQmWzvlkYsXkJeRUIMUR79gElZ62jbZsIIpi4f/3ojEvnFE9n6IQDm4eM42O1HitgEqXiqMH+X
BcrmrcseffCTKSWxfrJIs3PJP97LThjPOZHc3nbWRzGfBhsT5NYWpA8ZmYtr3eJzxs9UyoNzl3uR
5d6oX975jQKLvD7SZ+kw6RfHGluDmGC1GIq9tN4ReNh+6FxLhLat33N+i0OaFMGthXGxI1DI0FY3
LP4DmuOuHhx49I5qqhqMoxHLY0VDfNzUk4eu5PpauJwYLRWTuRgywcAu77DztdCPLhAPY+bb+Zbx
2PNS3ZLtJw522kI88ctmB9FKHYEFYChw+mlLy9L4dv1DvHeHKYAZXfAEsAmuviwSMavxPbvdtwYB
dRit1J79YNxOSlr7zLWbI5JimEnXr3pxxODJA02K/pX7azEaOf/mBjohRJsTWTKlhIs0Y0YpdC05
uXGUk4jgVgfVSjhTUr+7fuHLr7voyhBs0G0iO3n9eoyB7pR9ZsA74ud4NRmUbbNeNUTwBmkx7yJp
plviNGDZXL/uxf7PF14WFBsy/wTrrkBL4ALxPQ1SbKPNnqYgCA6DlemnoSuMe3JW+p/Xr3epllwu
SP3B7XXp/6zVEq2tRQTYEm+cBBlYDIAbzi4qUlx2iCb8v57AheGmbeFh7bQauQW6qZ6wYjKdT7Bv
9jd+8EtbzvJ5XJqKOq1TC9/7+S9eaV488U6R2LFVVUIVJDuLCJOm6KHLp1qaQ+toUdB0uEiCPTHN
ix67LGxwU0UTNVuwx/Jeb6shv/MbIvX2eFQkSGPeDtjLBzfXNuycINjafGSabWpz/GfO0RPdIfZO
P0CHV/9oNlJ/SmziGgM3b8lFEfThds2kUw5noOjmBwkS4JWwAFLjx8Qbhp0fIQ/MzFF5m9TW+VB5
n7gf4j6PvrBsrBfIfFm3ccYm/qZrGWFtuZwHg8mHQcTAJMDbygqJ4YHsuvgFx4XzNI/El+4MJnPE
ZepWhkQXveYeS4ZFCk2z4MOilrbrHtZJfjAZu5QJEfYGA800a4LkSxvgZ/bypMHlR+ZGdYwSSzUn
qmMBe1lOxcniePC1HA1GG5iAZpiW2LLoTltdA/Nu6L0js2qdcAanUH9V0LbN3m4S5HPXF+FSa57V
ovzmQPo8NvCF+bQWLdWCQdmY1NW+1dRwRLSECdZO56PDIOLGe5XewOXF6PDRYuX4yaxPX71Ym7qy
U0fAmsk4M3Yvg2aXrzlZfAZzk0Urp42a95MjKlbefkqmV6ojy/xcSi1XIaWR/it15DSgd8wrfVvN
Q/vXMDtCMX1dm9V9H4nua0ZD1Tu1izbxDgoKuDbidwgj0tq0rnABecOXoGsrY9e6yrV3ZI5CmyKg
t/yc5roVb+sGhdJmmjiW7gYUeV8D6S7OeRT4/nNbI3nfT7iXi12E4KfdNbqFTaeHOHAaeglGFlgy
6vugioHGMbdEAGWTkeI8wCdomyMH3uDDVGbN7zwp5wk1PvElgCD18SPOct3bBblJqsjY2cgPnQBu
dcVOoO89EVcPjHAF6r4mkM0dzO+i21o57SUoBcaE8dwpqn8yrUNl1nduhY+oiHug36PrHUkFEbiI
J4bs7DmOWGitxrAtURmSR8EoedypnOb/zi04F4YRZFV7P88NYNsAIOkxKVxhbjH+GL8TL26KF6jB
lgOxXKctTDtZP7mD2yPqmZy03iBVRAyTabH2m3KmNveOEuJxyDsyBDo6VfydRmI/EatQWVsbFU6/
0WxHRR8VLAgDhVLmGSC5gu4V/b090H23kj/SzBr/85RF3XSIVSpdpDxj1G3yvrXxVjHic+5qa4wC
KIt8orCNJbz/XnRj/oWlLbMP7dCNH3PhGfleRdgbwGMHM/PPqbZDmSbjsFOG1MZHUIjZt8kSxO+h
wiC30wXotfPGtiSswCUXcqtHNrFJsMpdA5TgEuMVOFoKkwd8U3qQUTHE26hWEaUj/ziHNmCIcAjq
bAmcMgqStcn2a/8yTk39EBtm026r3HF+gJwMJjrfBtNbkJjzk4i8+ZNsdP2lRZ8it/ZbgO1oBsmL
o1UpaaKTlF8yY8JcZGQ9H0pGjO+2eN7UE8od8dPFPUFuXx8VNGDkIH4Lb0gDpn/Ir2Cd9/BBbdfo
KiIU8jb/aPXkkmycdEBL3bUZ+Tj5qF76pHe+XN923nnH08EIkAp6S3dv4fSfTVwgb+rczGIPlDqm
+xPP8Lrz7lg2JkqjbjJf8tSab7zg3tl+lngAHExsPyyv1UUdTOD1QCT7XvOhDptV7ewzZIWhTw/k
G7H3zuE/f0muR3GK/4A9NjDPv2TfgwQsBXtrWYr5ULuQt4F19fjFZUd83ODS8SpuaW3eqyosh1nk
0tuhjlkr1snOaHWLwOq91mmdt6fgGf8qouQc/HGjRl41nM47Vc+0OZBdd/lX34vL5ojOy32RmT22
/8Ndp3z2OWGgS+Wke34XpF64pYKNsfe0IP7WzBKFB5LYHdl6876tpltL65032tJXwTzNkJQ50urM
mMmh1FKPcDWzrtJPTYMAArFN8IDCJrnxA7+zoBabFiYtdGucFFc/sNW01DOm7Pf0ycdPI9nnJxWV
v31sox/phN2aiL5TkS8N6WVIyQyYkvH8TgqnKVUeW/2+jExg2szq6EhMGhBC1ILkAOtmE+Jazk8l
ussP19fyZTeXydwyIGXYQNmNdfv84kkde6PVE7/K8dU6IrjITzX/7w5uhbsfHDIZcyDKYdelBvMI
2MVWbiCglA5B8akHj6EqXRU2rjnCKvP8eueqtgh1s3P83Y2PutyHVU2zKJ8RTBFzzpO3PrO5JJI7
vT3sYwkIEh+d+IBHT32x62T24NOJ8bXBQr6PNWthggwAJPuou7E2Ll0c3DDu05sMmhnYet1j4Qd+
7iUDoqs8yw5254riSyEYKO9zNJ4LykY1n2ND9u5uSFKD/CTgGF8BExrfBa/NxSRd1E8jgu1faZ3o
8Pvs0UPpn9OcAtg2fEcRHX22I2P+75szEnZOAkjZaQCtG2FVQnSyK+duXwWTd9+jZN134Dbu9bqs
9yma/rt5zoob1eFynFz9aLSGOQ1xznYYKq22CU2g/PQ7hlkeCPMdRM72W1ULkg7/++LgdWNyyKPV
B+ZktTiQoqSgHRbVWtVbKkwnv3xtpSmewCLa6Gw91R6Lpu7CPLabOlwK9IfIiMr/4R4zDUaixevB
Z5x2/jgFBUdcx6/7fROgFrFH3bhvAfLt6FCmD6Wcfxu8uW/U+pfbFYc7xuu0tuie0N07vya6lyAQ
OddMyjQ/5X2sfkJpgvfKaS8mSSyy7m/c7OVvPP9ROdfyhsE2TBdR91ebRkpsCKhzAluCKcmNnQ2T
8BDHcwVo0aApZcAUXIy9JurDqnNgOU12bDw1dJr/0bLe+HPj41xuDBg0OHLz8l9czOuNgS5CETVq
GPe+iGNsZGwR1tgR7wR/5uhKMAElZOnHNNMXc20A0JK58ev1D/E2Z1vfEzZxncKH8VqwFgsRh9lK
pZFq0RuWNPb1jMB/axZlcK8CNyN4u9X4ID4+Z42jc9t+bGZFnmcFCeujJxxTbcxODNFGb9v2NXKn
Jt+nRq1Nu4m+xavSIozx7pC1pyzp8/E4tFmScdaNzVsYj8s5BnssYz2SzpfBAI6q8/U00IhIxBL+
gOGIrMpqlsfCZzjHm2lJC1HGxBbbpqeMruW+IsWLIAUNLf4GvxS9Th2cRt0l1cmTdXGXxHq91wer
Pl6/38vzvLrdaB2WCeSyrdjr8UXdTfA8in7aO9TujHhyTPJlhWoPRfAnnALT81D2+qlA2rknw7C9
8Zy/e3lag7oJT4k9dfXM0ScjBakSak8ABDCuIbXaaaO83oseyBTWfFBOjLaR7+bOuCntCaErytpI
u/H6fhu2rm8Din7O3lRGlrG+DcQ85jT7ULbwFqr9R1nOafyQGH1vfEBoiw1JMB0jiFxDGqQBWn1y
zHGoKNIKMsfLrsyOBJpaIBmqkdCCjOTgeZ8bMwCWRjUE9wxwxMCwamXQbidGrOYJotWIIo6CpcH3
nWg/SiulpV3qDcX3VNoFSuKoorFNjAym6yLz7U1OxMjenHoEzIC34nsx5r2zyRJc5rtUNOJozp6M
QnKewMKQJZme2rxMac7GOklWVRbP8m7oXPnD76b6G8Re+5Nw4ywjtNPOTg2FVbNxFScA3ySk6KD8
wH7wBrcMtvS19RtaxMtCFH0NfqQ3fCddtdXmByebDtZg86C7Knko7RQjXiVZ5GZVhtcX+Vulufp5
KfoZlCyiHl4qy9v1XxOykexBghgWwVZgNoQh6ORMpLsayVa/iVLbbPcx3Y3iydBEwwFcwNnB9EiE
7C9Dto1+gj8s4y8sRUYW1z/aOy8dZoYYsygbaV2v28goPvtGSrPb93OivTpxVO4wXDQ/x0F+BxQz
765f7p061WOoZi8SN5rWAFjO78TQRHrflUuPSVh4kslBTliw0ah7KWr8Ie9DL9crEHJQHItdwPug
3ZGPkxvhNMqBvA7cL2SADgMi32p0sabXJJF/YUOVw/MQTdHzgJjdvvGxL9cKrGzcETyZyBnYrc4/
tQeK3MWvmTFmiJgXpV0/hH07jve1jCP3v1+MS7EpmagyfAqQ84tJ3i1CmTOYIIMMi2BW4LS9oroX
jNVuXOqd+QkvOYrgZQOk7bfmFQYth1ScWDN46Xh4mA2j/q7RhQ7t3BX1puOyx5EyMwTPAEsRtPhX
xJL+jTV42W2gWY9Yahm5cyj0lz//19PhEZ3HZDyY9w7V9S9EJN6XCXK+uWnj2ttrCJ4HdO1A2m68
e94e8bPH0qLTueBYURvy+jFXb8gY2tEQNVAx2gln2V0vdP2plXOWPTrFpNch4bN1eohpx7ym8WC9
QphOvzhGhgNJz0f/DwPe+LnOKOVCJ2MwzDsePeYm7esGsGObyH4zeEuQlR2xkWvYuzEmE3cJjzlT
pDiouYAJ31c2wns36p1fttb5L1WrBNxplHfzXVLo06d2SvRp67s92W8Nn+yPS+eerJFo6IcNzUmR
naQkE+v6o3rxq3BzuC9Mv/Fhg7VcrXmEj7FtimTeL924DNBNUZ/aThrVPht7w4NASMavP5DsdGNR
XpyjuTACZhMDMKoPlt/5clClE9EbILB2Mse4vJsis+VtghcHm0DvZF/r2AXsiRgVyCGIRfVy/Xtf
POtcHmUZgkjGpg6n6vPLZwI3eAy3ec9Jjvec70x4AVMjnH2O7tcv9c43pcXGI8YaREZ94Yy1BXqk
sp33wqfxt4lbRtAb4U7jPm5H90HZHAZUgC8miCNxuH7tN1vBavGjdoVeBwqJbtR6tJAkOucoURt7
gEX4ObGbVPTEg7x5qCKj9HcTU9typ/kRVN9kICWEnHN6pnBn0vjI/k56LocHfToNkcCMp6tZgSLP
zXQfTzapDCDe7M8aH9/fKchrHdCZNAoLz6j0XadXptr71Ujq9dxVNYRZ5fyTEIiA2MloxN86GrKA
0ENfILtoC3ljbb/N7tZf3kbcoS/SV6CxS134ry3HGY2aRFzH2Ad+P9Z3umYYv4Hrx+1TH5O8voFE
VYkwcrz551AGM0Ql/OrjNtC9qd63jfIOhSTlYTGpzceJspBAsDKnd3b9R3rnGVwUqzo67sADb70q
T/Gnl5Gylh69jPHoY/qfFzSN70+PdJPIPheY8uKNb85w8a9f+rJm4bF3HcA03B/PdnXz/BaNk0d8
dgMo1xhLbd4qlRCQNXTqL0GGbEdZQuvZt+mZo8zxnmgXA/J0Bjd7tfFVbXHZJjeelsuXFZ8IfSQd
NsCErNjVxuBbokp9nRVrMcP7VJWDOs1s0ObOK9PgyHmtuut4UZNbWGcfg2E2d7OkuLrxm1yqgtCb
4tNBhri0MQHfn98YA98tN0Pp+wxtrXZX69AOtyiXhnrHADv6VXvAP7a2g0J+KFsnO8Ydws+NjpUR
JGkUd89saYAYrAbL9rZlLGvf+IgXRZ3FkQrYpWXhKfAuOpFm7yZ+UXmkE4HIfFpYqFseW+NT38zl
VxDd+c/ra+Wd60E29CgkKI6o61ZPE773HjHlQOpNY0dkyNoyuk81LXv1xACuHAK0rd/4ipdbJwgW
+kTL70CW8HrrHCsnicVE7GEL93YrZQAcXS8yqHKWwiORpooZYBrNoY+VYL7RqXlnJfJmgr9F1xyn
jbsexWO1nvCO+/Z+iGldtyIwFyxj3Rr3Mo2TaG8VqjzqPk4YY7TruzTp9fjeRqt64131zo3n0Mwt
WKbPC/36fClC264dn3Cufd3jAgVrHf2QnKFzKguiwrZTYs7Wjafw8vWIEZ6mAsMhD6/RRQE/B6Nl
N4JgCYZed7Ty+nJX5a1237qJnYX/eWHR4nQWMuQie3gz8v5rm4Yvz2B+KriY39OXluTsDHkuHknu
+40gpL4h21/fTnIEKDkW9wULCpbU6naSrDcZfdIIgogtiJNwIO9whCi5A33s3MWo2m4t4/UG/3ZF
0HUg+5ZaAyrt2XuorATbuKNre94d7gPG/w4SQVN91CG+4Lg3q60kSerGq59OO3/tv19/y2VdBvzM
REA5Ijg/v+xglhExpsInZncyiSaOgzrMp2Z6MXpEcJs66Kzftr4klCIKoDkD4c+4CxgDdxsZRaQG
Cc7Vz/A+sGANrrR0htpVRjpbGn8EyDtxjC8tBzy3VOJTE1vlZxd9AFhOPet/jzAQxzCqxOKOLWP5
o0v0/nsxdZBzdWd2vQ2bOHkyIDZItSYoDENIRRfyafar5s9c5F4J7TomGxKNiX4Hg7+/M8vGA1JB
pO8/cYKggOFpPaiNLisCCAOS1X6lldZSw/hEaW18rYb33MwODgxfk8MPgaC/XQbmYtgtZQ9/FbL3
P6ySPtoWM8X1lqR7K1QVPr5tbHfVnyxuUa2kbOfNpo3UlO6zOOWLt60W2Tt0StpzwOA33kfKSx+U
M5D4OBKxcgp0fmuCNO0A7pJmpb84IMDKWNIC4cAHbvs1ovys9lFjAis1HHDTG8bb9O3G3soeNT3B
2oGlOcafnJv4jBNZoCaURivIspWanJ+g/6TztjebgVOCbZFZLGhVPrT82ceoEJBkA3PQxHYqy6Xs
JH4AJj6m5Y/ziDghHKp6+ONKn6pwIuvjpWKS9acboPbjjx999GydqF5MwkhBoI6quceoSsQ0WpUR
iktqxH/ZOY1yl05uTbwv2bkKSXkETE4VNqGmxPlBQ0oREnwnaMcQx7TUUyI1vRE2poGKbUO5U6Mg
bfUFPWfDdgXRXXXllnJjUhtG0fEdkxFhcTWmoxuwLprzjcglC7HHwGwGG/NUgioWAWPU1Ow7cbJ6
wxWQt7TWQ+Y0TN4W1q76PeuEk29GrPr2piyS/LFHqg1CrJ//plHk/PYRieRbLBS03GAFTIQLBwOJ
5iLO/kmdjCfXKEYiBXoOx+7GxAv5qyIJRd8rc/AemipIf3LjsFQ7GsnhN16C672Yxxhq7jKTWcZY
TG/PH2NbYn8xYY6FulXVB1/SwfSVphAd69Pr9Z14aTqsdowFLcpAZplQQNs8v1QrRJaLWEcu2hAG
toExMDxotds8Xb/MO/sh4w9onph6lqbAqpIgx2Wa3bwTocVg2NhrIos+MET2mq2bI0cYVJN8aIlI
vLEjvrMf4r6maKLKRla8rrNBgGj0iMm27gZR7nUxG0doNtYTJ0/5ZEYxsSI3vudyel7dTxDenu8g
5WPesfayeFZDzLltRcjoTE/+7Oepe+WUX7f7INGIEPYbER8Lq4T71eKbfwE7gv1UN4AebLsmivJv
nnQRTpHc1T9lJRa2owMyoiHcEgPtzhRSI2+9M4yvRlCY3VYyt/iVMNitwrKeGEwrRp1AchI815so
gTK6UWVm3WvRgruHk6s+0IaySWeJTKsMfeXopJPXw0KWIGt9o+EJ0dBXFWVIjTETuVEQwIZWCqUM
j7lOWBncfesrqH2OCFhY++9uRqzcpmo0T9sxs6gZTOhD1zFuEJm5z8E4N9tU1fXn3lFzf5hAEs0h
jmkD7IiqjZ91RfgNUBiT3ThVqYeUKbISuYO8Z4xUfKXHliPAXrQZmplNRiRMCfXULJ8iQ5Duo5cM
sRYC35zuabGO6sCDGfxuAzqwm9mh27qdRZD9UnpePuZ1oPfH6z/6hYEJ5uabw5/dj8Mntfn5Q+Q1
zhSRyJuFsxWbzlaVI0By39XgfzuQHXInN7ct2O2wjyvjJOde2wZ9Fo3bvPLBTrok0M3cwKT7U5aW
wsNYj0CvOWgVXaI+W5Ht3Qd+qzh761Wym8gdIVxHWFuAPSWxrPb0BGquJG2jjXAFVP2Nau1i4sT3
Y4hDQIiHPYvifNlE/lWu9cs8NR2DIgSLMqHbU65EVh8PdHGSwawDhmIRzQ1acfVfyJFTTImuil/4
z4S3s+VYPCdNAl9B1SS21ktc0Db2/Rkn+1Ca2q1H8OIJREJLa25pMi07zWrzdDJZJFZU1yF6BCLT
GywDpI2OP/o8+T7E9gtfUv9yfQG8mUzPn3qqSvBzsGdogdP4Ob9BlQ8Ypq/bOtTdHkSVVUXVccoa
vdrXqaRn2MYGqSImLbBib2vlgCxWKya1K82OPF6pzIYEK+HlX5C+lcAQR1L6PrjN4B7GaKJa4/FO
kScTc/g1wbJQ7NzJaGr6Ly6CBh9l7DP5ck33aKlgZqw6Ve1OgpmaP/VVbCUfzNhSGA5tD/F6nOD4
K8gsw7gQZYCmbPFH9ML57qAUTHAHB5O6y8y8/jEzHYcCLToGhp7fMWci6ZZxsp+K8inRpu5nMQ+C
RY0pFWJKanRf8KXY+aHkFn9y86V9GhhZIU+RLL3vnD3G4Y4kRR36D2qQ134caOh76Zg8BkRTcU9k
Uf5t41hnrsX7ESC3UOVONjzfTG0j7VCgY9SQq84xQwUv76tt3qA1JHE7Gl7qyZjGXWxlfXsyWreP
sefkwHNEE+RfuxkW0WFE09psOoO9cHd9BbyJMy5WAO19NC5Mnziyna+AtpjJGB6CNLRSE75fJkyL
Yl+35SZyG3SMw9R48HiG/OgoHqeNMbnOV6L55vJgxu5kEUzcmP90OXkLD4NFLtbTtNwOtGJU3ByO
hsp5xJ6ZtVv2ZsoOS0EY3phknI0hWxpp4K4eldWHYBDdI0kFimim2krJV5nAo/Pq07w/XZtrz0XQ
ur8ttwATef0WXL5rAXwuWVoMVBhzrPtKEw5LUoFVFjpTRQ7wDGUtFXSVS3KBDvT6xI0D6/JMre44
DSNkHJgH8CusW33DmLfDUDdE0xRxbMBOMkr5GOTkwF//XpfFGBEGHIvxezNYpGt3/ss6hhjBxTtp
OMBoeiTztwLy2coPqjXVjVX0zqUYFFuLeIOhDb7N80uJNKFl50xk66BEO8A5RHwuXf+Z3ox2w+1x
0SZmT8cBsTR3mAMwm15VZJEp8If6SRISWdXX92XvxneCQXzwNA4TIxCXsoMav0P67qe9y4EqT2pY
SrqjsErObnoMKBPzpyj1ZzyJTmc9B1neU6j0qNJ2rJQ2vuu6pgUIoBniZLuD83cwgx4vndFDGqK3
039rHHvxmBYzQxbFbLjb6o5sv6pKWi5+K5qhD5F0bwZUXK5VlwfnbT6KRpRZ3PmNbjQC+OK6IzFe
16ZyO4xBH3yOPE271/KWw7DmD6TRXV9HF/RpGnbL6O+Nx4NwY609Sorc0OU4lmGqZUGwkZ1jHmQq
nfuCCMs7XMrOsUiqcgO8jOxYTSi1bf2k3QZW6RwDaHEbB8DmY1vOZg/8doF4B0WOSNnQ+3JjSkKT
rn/iy6LdRSqlM/gDfQPRYXWX2KioZFDDLWosPZxJXEbMjOzQ6UyyAOFXHvLJbm881u9dFP4F5hxQ
5syvV49bTPiHOw9+HrJgvMPYWdCwunJXN2TR1V5b3Hde3IXXv+jlcxcAh1jCI4zl33XJENV+VvBO
aUN8GG26gcTofC29HEVYTb/v+rWWWvB828JQiekIJZjPm2LNXbTxDEJiIkNunutgz0lvH1R5iGnf
4RRUBE+V0NUWK4b+ev26F9+ROTDfjEgFx+DMsybuK5etsp7GJmyV/5X+Qsp4wSaZUQ1W8+n6pS6e
Li7FtJfEZGjl7O6rrUXzJ2xik1GHQOKyP1Yh7QPNpOIns3+6M56Yb+nd1gIzZF0Q8xh4mdAqCOdb
rRmb94DfyqoOO+ifn+OokIvqGkNgLZvxUDjGQtuJO/6ct9Qds88yhAvn39hSL7rHfAyHgpMEDYRm
VMyrqU6RDzVkgrgN4zTRfqUGydloLty9cjB40SMb7Xu7SjULB6Gfb3odOZTyy/rGPnN59xk58twg
/fMZZ6zlYYqpkz47cx/quaEe+zaYd9w8/2TkYtT5FMCZN9d/74slzXLmsL6QG3gNs7jPd1NjwBUT
JQmpl8Q2HXOTxiZmmfRQiGl+dIKCfBXC/7bMCvMbcI3LRQ21iIku+myKbtTH51ceestuZ+BjYeL2
mYFDzuzvKodqlqorjW58zYudia+58OF5dvilaeueX4xnVlP4h2XoS8v6gbzAOEqpV7vGNsddgCPz
NGGNvnHRd78hQk4ofghsKC/PL9oOFrN6srFCnxPTTjdx4zd1YB7zOutu7LzvXYpXIukIAE8CdLrn
lyozsJbCDGRo6bG76fvhB1TB4bstPfF8fcG8s0RZmtC3IGhSMa6ZKAj486IeTSrXWPPu1Dh1H/G9
/4zT2O9Q6XHSuH69ywWKNml587LjWiDNVhsS/mAND2fH/EYb819elMVbb458d+M7zKA35lRYLc60
Fo68cvzP1y9++WUx8mJ806m0FhTgqqiLU0k6OImJoWPk/iHmsf8Gj76409gpnrFE/g+X46k3sNIu
wq+19oUGBTFbRpGHs5ztR3uWxAo3DNEc4WWvI2yB/fWvd/lU0KbjZ0QE91Ynr1bNUkYSdu7y9SSW
Ird3pzu97KNd0/f1xpCGdl9O1i0p1fKDnb1EYQ1CtV1ULCgSMGWcL9WCkmdCdsh7s1duKIqp2KhR
wzRLevqW469Df4VZrbSr/MGtB3HjO18+KVyexcSYcqHIrfPUak8Ffm3LHHWQmX3QaiJMIxbYLmCI
cmM3f+/2Ai3hZOnSO0Nad/5NReuZIwflPBwnY3goMw59UV6Aio0L/ye0pBEh5U029IVGAAEfqgTK
Lwa/DObXyi3UQN6szU4eumKsPoqFmX2YC6YgiKHMkzNb5CnAY2WAAVHsMcnTflMXgfPTJ+ZoO8Mq
/3F9kV0+wGjZ6K4s8Dg8BOuEWuRcouwhm4ZBoVfPpcJ82lucQwy7AEbly3jvSUvbBVXr/+efemnu
QUPEs8ASD1bLOyZv3FdEgYR6nWXfBkkLxTGr/pQk/q3EoAsLGUAyfmTUSYgK3tbV+W/tdGT0cYr1
iJzygqMDwOeJ2dH8vAAZj/ngWESbV70fjqmFScSJcHRlRv4tL/VbOpqLPYtPwhoIFkQKRc36jQ7+
x6sLZ/BQiyMKqszpC+P25KOSgvyqwnZuvMYvfl7ClQn7Yttasr4Q25x/8TwtrVFY7kRG3NR8Qiry
oAbDfsnGrDhCJYie7apvf/aeqR2vr6vL74m+GD62ySGQKa2zfLB/NTa52eQkpbMeNn3lMOPn9GVD
qv7gZeJHVpq3VLLvXc5ASkHJwvbFI3Z+uQSSrVmltRF2UOQ2Fa7jA/EcjKVGuqoDmb+/rn+9y4qU
KQMGYt4EkN4Rg632ySQodeVqsxHqdH2e7WBMP/TCTQ5VTD28UfnQbCJCwU92mhUvKi6mrdRtaH3X
P8aF92KJgbLRMiAkWQ4g6+1a1JpTkMuoh5KswfKrBG7tPul1arxgC0ELF4xOPJLkm3c2jOnSD0lm
UvUDg8COOjm35m+mx0O/byLLmDdao4/OltSYBsG1wnCzkWXjduT6mnEB0joiaqoUWLVIWkjB2l//
MpdrlcHN4mTipnLSWPMyYcB0uSNHI6zQlyvkU573VaE1+5BpbnS0tDzdJ4C1drk73ZKnLJXCv996
JIvgOqfGZkyHSGZtsexQDPSkVc3bbLTMrah89y6th+qGWGL9xlmussDj+MWQQ138WAQ/mXYb6zOJ
8Ob8K/WSf8rJzZ+6JNAeGQIxrI3bW+yfixfO/1+U8QJeKHxiazT/6NtYEAZ73grq+Ib5IKrcKvIJ
vraF+cVoIablNQ7ILeq05HPVoVWeA1U+2SQIH9pkaG5sDO/eBIonKm/euVCizp9Ue3KzmAwRHZ1E
yT7rveXhcr8UOgkfrEQxWIcGEcuNJ+XCvch9oC0OwZ5qlbPsG8rhXxuSU0RtVUbdvNXIldxEVhEc
tDYLvpR2JX6nDZKNtAZuIAd9OmBqLum4N+KUm5wvgQ6pJ7RnTRhEKIdtryyOcBORiBVd/jIJAjRE
7sc33o9vuVKrRYlsjyecbZnX8zotLK3kBMAe4WBrd96DazEMF9D5YKVpApOJ23r4L/JAB8sQj2Fr
Z+6OOFdv75mp9gUVJwVNl97qbl7YEZb7uIgbkfKx7bABnv9+hlbRNBLmolfsxn/MXA5ksKgh+DbO
lX9XJZGm70CvGmIXaz39Sxuyi7Ypar0/TTRbGXVyUCduSdf0DxqAwW+1m1jP9COTYVM6yD3C67vK
uqJcPi+PNqc8js/U7quNekDqU3ZDptDzJfIZmHlyRw57uetd91bxevFSeLsWjiw81IsZYZ0UNuYu
VVqONATuXvfF1Lzyi6YhvhL50P9shG5vkGalLO862SvNk+Hcu7eAuOs34fIZOGguMqWlxFgbZ1wh
2bg66LuVNf/WjIRBfEs28rZFhPzqlJl+a5kuPYjVMl2qKlpfyzsIT8D5gmg5OWN5Zu+05p55mlTx
VqOtcESPQFIXMUXkQlSZd+KRMw8Fyt9NNk2q2dRWNH68/lu/890XztliikNsd1EFDAGoyUo087Zg
2sM37uadSO3yTtelAmo5WzeOEG8ms/V3BwBPKWDghcCGef7dNSBiEdebtx2Qo5M5Iu5+cqpJMmDD
CNpvfBmhMsw1SYHfl33qbgUa+h+9g41wY5NqBO7KSltAI5Gmfg6pBg+l7GPgop41a4eJ7UY7AARp
/yEA2/4o8qlg0Yi6Ozlu54w3tub3bh+6QRYvjUz25lURJZQMHEhAilFmqW3k6GZPyvfkZkSMv52z
yP6P0hWWKl1wlCt4Gamg1jVi04NcB/quto2X/eiDUQ9JtXSYPDYF8L2cTSJv5tP1JXKxHdB/oRx1
URNQff8fZ+fVGzeypuFfRIA53DbZ3ZIsOcn5hrDHY+YciuSv36e0C6ybTTShwWDmHMCYqa7Aqi+8
Aa2gyx1rlghcGDI9eAma7ptxKWAAulmEooy+58R69dLJoWRR2KIVRL63CoGbaBFLqLgMpXfKI5Yk
Ajnycoa4ZtmIrFX2cam6fmdNN+dHMiXVF6V3mfzzv565EPNo08i8MqBz3PwEMhIHXasijyulzm8v
5VXQxPwQypNoU8D2bOPlUG3K8Z9Qxwqcyq6+pejM+nYCKG7v5d4cx+SgyCqPVO28HKfGtAjxXLib
RRguDxRDqLt4LGyQLUn4yQiz0kc/ov5hj8X4LtZmkGvYo/mlXaAsEfaO9U/fjOYpQ9NiZwWuPhhM
2OFDAammfsBTvYplWr0ReoiuPNVDw3sm6ZuOcG5mqJ4zUmsoHe2U4zc2FyCxa+N1ZNLMXBOMRnyl
7KSic99UjoMikAbwA3shP1q8vc3dmhqH9mV6fKLrWz1L0hmUAt8Jftyg4lMwm10U135fdfm5njVl
Zym3pkZ+LnVOoLKDsr/cZD1Us9yCQBEM9EKf4wLXutKpmzeD4+4VftclLp4GCz0Z5gTYn8bzqqju
ggpQTdRiAvhQiKEKhONRHZ+MX3wsxmOHwcxbVKxG5dQoVnpUs74Pbn8460RH/gCmyZUHiRA0zepi
qHo1dMISW3TbaaYn8FbKu7Itmjtp2vl2mafkQSDrFtODnIrT7aGvwzc5NiGwLEPxOa0lV8hlq16z
4ayKtK+qo20O6XiGOIJZNpF3eNeo5F4PVCLoJsfoPDnn0CwENsvAb80/2VI2J0dDdf+pWXLzczNT
mj10ixL/iJBcRMcU7s/Oq7RxjV784tV2RUWpRC25fYBfTvfs2PN4D8kthfVqgtBBYvp5NAnNb6/T
1qA0mvjQSBk4lPLz+OsatR2svMiFq2D0wuTP3LZob2kZ0kJFJ96BsxtOETCJ4+1Br3gy8mBwLOll
c6nC11ndJ6g5UApUiiqIG82Lvycegqy+2vVh+sYq0QQF/AXIMqjb0bzP4y770S1WnxwhuU/Te4Fe
PsKSfYOHnzGX4MxdWGrPt3/i1tFlPQh1ZDYFy+ByXao8BW0aE9+MonBOOPdNRxeFuHuNnvufcQAa
rzZmcXLrfM+Gd+tCAo0hVRyl6pK1egW0NFHNfM5rTM+MHv1CFZUZNsL64lIJxwu2+fnqmUoDdfbf
RVnlCpzS4FGWx4Chgy5r9KBzzRSfmCr0sd9Uj8UU/65UI/2GGuOeQ8DGROlooPJDGULqjKxuQjR2
ktSiGBsUEfaBmtkX90OeDYGuKOY50sw94fSN59XmJZfhAsQg/rrcUuGYTViFEQtLwKefBtcq43v0
Vna1U+QOXQTLMDcJz0nAaVEBelgNVCMPE7qCrmxoSGjZMqf2eRzC7lG0nUC3ZlLOjVJnfhjTUD2I
cuif7GmA+19GhX2gUhEfhKanH27v88aXDiBCpoj8D0d6lb6ks4ek3qAhawj4/+2g95mvANu4K9uw
+wiwznhs0+rz7TG3lpxoACqZbLPw3K2WfMlyvcQLBU/brgzyKLefHCVuduppVwcJ1CSZKEIF8kIh
A74cJa1NTRRIlfpDlKZvNS1I0YpKJQZQH7Vh52LYGAz5GbT9wCmzxS8V+L8uzCSlLKjQ2WFby8QH
h4m9bFjBiZ0G9WEAE7Xzhm6Nxw0k5f41W1oyXE7OqfVOV0fH9SuM2sF3j96Zvqj9pLpl4zeJ2EUi
X51e0FySIsgBBvwKyOpywIUGhaNPOgPqCnQeJY+dfwCaTNGxw0wWK2LRVnFgLTXqzXqEPFgMC0P3
NYC93pF6NPWlSm+No4IxLdB87rKTlQxxecLVNf4zAbX2sFmLmmNjIGp9qJM6exRJUo9n3FE776BE
Tr2nsnF19pkTiRCiIHAhNHPdHTAQ4S/LunB911Igv+lgZJHrgfJ4LOdaP2vIWp4Ma1dG8CrWY1iC
HyoUtJy4IFc3XG4MtqsMYDi02eiAXU42ZlR9aQCn0IW3k/BdfWtyMNQDLeIPcPzr662YVQTELQYz
pRncnZs6eFh05RTtKWtvDYQcCAVGXNp4x1ePd62QvDdK4fljCf7c7G3xsaqs4svtq2Pr3NPJkebQ
3KMs4+UxFHZlqPk8A/DXnf6jJrC2q4a88hcE1e77Bu2r2+Nt7BVkSRh+VI+5q9b5chsPI+yzAk5X
mVFvHMqueuyRPtYOlV61v24PtnEeuT9Yu5cz6a11PAQMoCTFpgvpTK170oz5z2KI9GDW2XDvlXnx
mHNkd8LLjQWVSuhYngLrIZFb3cUzAmkkN5bnV+4IYW7CMD4DYesrmJD+WkZ9F/IvH5SLZ5B+J4gF
+r+0OyQr9HIHJyvDkIOir7+gIAUKvSiwvSA5b4aCAC9DAj/KcWzpWxoCU+s0UIQX72yLdrxD9XFP
FH1z+gRz8udwca9RMAgYhdWgx6GEbQznYqwgzcnCbhE734jlk9PtHb6KH5m8jOEo/JB8UGi6nLyD
40e+xNyiShla+gNxtvM288T4mMIZ/rWYi3rXdIaLS4k2GDtjb50uCJYmvrky3FnHriaCKf3owI1J
Q9yfLfSXH5sEFl5ZtN3zUKTiIx7J0x6z/KUFt95vGKOcMJDbdNpXt11HBwFntDz0yzay5jdI0mTD
d7D6CGwPlTJ1lQ93dkawwPXyD24H1t0Xo9b/oywdpsKdqTgTpEIommfXQXjL16fQ/RiGumj9hOyn
PCcx7e2D10d942PC4hUBawvHrwmnWP+1FGr8KR37kvI6EJLRN0cbuV0TVaBjbVcoAQPo8Mo3mTK1
+SFdIBaeet3tkg+Ino13ZaJW4tB2RfHZDi3Uv2fDDfOdxth1k0piAGRjBugHfowvHIC/oodZDZOu
SidUq9rZRrwDtcY/dlgVDw344aDTl+IH+jZoeg1efa8taXdIa0885wqtmUMezfWeWcjGZwFmAL42
4QXSJldYn8Gd06GbdD8Jy+Hr0ghbPonp+CZF2FhKLEfRTm3nqipBdev/kNOEojCbL7+MpqybSnip
7vdTZ/rDYk8+KHXtPBdALQ+j0lNlTusGjiZBSEt9L4FXe/vj3Jg0KQdRMNE5rtZrQ8wMael2jBrd
L1iVu9qIZobsctU7Ikk9vB2KGbrb7SGvnxcpXcNFSBUd8cq1LECF/wrN5drwq7RaHoXZFAf8L3I4
o8Ne5fd6dqDxKTUzCF5vV24IeqwPZDY0OvNUkFep5XxyhvRX6qbJUdfS1wpgcaFCv+euw0fVJEZd
XfO2IlQj4W8f2CgyD9MYn2s3r77MGgXv1y+ijE3/FxyLN+Hl0ZlHvY2q2tZ9THS87DBVyfBrGErb
OdGmgjV0e7Trg0qSiMIKDUCeCzraq9GcOSGviA2CxowKepXmv+zBw8IhSzX1vCSx1wV9psAR1rK6
+qXnQtl7tK5DLYmdRzGdBgL2n+v8yWtNZ4hMAdy3btU3S74YzxyaYWeiWwdGmgECO4Y1Yunyz/+6
lISFm2mdQwZMpwpdKnsOjSAz4C+XVJ0+Lx6X7u2VvYIpyTMjBRUM2aeEeLMaUW0b9LKSAspS7bnV
SZv04dgPHZZUiL+/B74ARyu3s8JvirH5GtLoIO0ow+9R3ujvb/+WrQ8TSiJqLfTqSOdWx7eb+7GZ
BCyv3o6xYqyK+C7pbfUsLRd21nljKA3xKAoCkLNZ8FUqN82GoTjwYPww1fJ3Zuo+k4mHj100fbo9
pysNI9aXmVD7JG+E/r0W/8DNDXOltDV9Z2rLj5Ta6k8h8U9NRDAn6CgBhX4POMGcj1kTddNhSloH
5/UOrtQhtjssmmKnHI7R0FT2wbLh3PpaA0v/9d+zNFYlSqQgrtNcvDx4rq6oXT6CZqex2mC1DkTh
hPZEIVCO0KtgZ1FkgHsZn8jjRroAHgNboKsCiIUmSt8Nhl/gSGKgA1Frw4LBk7bEH91sNuFMpFH7
fco9egCICYl/C5eG5GLy7/mqKapo7zOQG77+RRwEKTcNn5F9upw//atWLdpUxTEvzo8IKBi/B0w2
TlgjKf/0cKI7CBYFthCgIRK8Lkr1NC99t7Mw1+EiCr/y6iZcB/Kwlm2Jy0VqUEb4cogRgvBEGnmP
TlLaHCJPSWLCjjH/Tle22OngbZ1SGQmB2gMgCqV8FQkkKHsqoVOofljm4kE1+/RNnqrtZ6uP5geq
oHhpFVPlx81CCJgrkf5jVNXqLp+S8Vy2Xf4M0qf6ISo1f7AqK/339nnZuHuxAOB0Uu4gLVwDGF0T
AdSiylTfrjGRMpAhR4OkteMdfddrLIVU/QSlQq4L65Mv7/IQzG5YNXOEs1jd6DYqfgKkRNvD6jhE
U91AWDWnTzWZmy71JdR36QKPEAnYaCc03XgEaEjhAia1SGU9+PJnCNscHSdpVYKxIv6kZ0nz1dST
5AvsaPvNBF515/BvnTreGxSoeHZ4Zlevqyb9lGsX6xELEYN3petEx0HkxYPuifq+N1pwW/Q572/v
6eaRgzbHRwdWE+Ug+av+fuqYTb2QMfk2T95P2Qd7qEU+fwKKXZ5Ld8kTuMFh+Me25/ZbQV/ABNQv
zVvIz9W3ZjTZ86GP1AKUgNt/EEWFwdLtn7i1DyDY4IjQuwejII/lX7+wWmg38XZgcqSo0WmYa+89
tDzE/2B0Nx8cc2l3zvnWgBw+Ol8gxLkbV3WBJPMGgZOp5o96FeEn28zJhwyaoIFkpZ00vj6OaNDc
nuTWtwUCUVJFbPKOl+bdX5NUOketzWbWfHU2l2es5r7gmSm+3x5k47klBP7/QVbXS1bGbj3R9/Ln
VjrEQ2hbEPXzorJAGbOf/ssyApDF6o1OK9XGy30Ll5ZXv8ScCuVZoziSBA7iyPmfEUdsaK918Z7u
/nWJQdZxoK3BHoCrtSYTKYupKWWdEA0nenFfD3gqTllnnQa8eO4xN/pNyaN+KMF3371+YeFrQF+i
wAEmQi78X7vn9emSOR3KCCCCYZ0aOKH2WTu+hUDX7RyUzTnyHfAsSTPJteBnCkhCsbn5/c6Lpva7
VmiheJxSDKVpLJcGOljISJ0iA0MqX9em6LVu0gRSxAuwF4CYAfNeVyHTKslF7JKs6qhdnaIZwYVW
Xcr3DXIrx9uret0UZSwYKVi4IeuFD/rqRqzplVVYNOn+YtvT9MYeUzG9Q7FNRD6yCywyHuWAmUs1
a5WnbDLRPm+7kiQ2n3UFhL+h/ArNWevPTh8PX2K1NfeEH7euCgSB6djSTydzX10VgJgSzJNDPJ4i
6GS1luAVssTdI4ZFv6G7LTsBwtYTIaldyP6oMj5afVL9AOTEmihhIXoNz7Ewvoy4uN2FQ56fXdE4
Abzzfudsb6Um1Ahpe7AR5Jneao6lYyXGqHE1lUs7lF/dbIofzNZrpiPA1BrcZ4py+jwuynAYklIx
HkSXifKgxMAUD2TKcfUfzgWJKCBLMnqy3zX7C+CBVnH6VD9Wpko5q5Gl9SfgzU32DUCz453axuny
Y18bizjHUQIBjqg+ZXnG3PyWaoU+kpuDjz6oE3ZGwN61aO/wblzo3AO8IvizQPdZ81Z7XSnIljuV
Ml6DW0QS6hhju/Pp9iciL5ZVvMx/Ha1TpBRwd18729JWHUZs3DHyJJm4n6rF+lIMwwc1bZTza0fi
YuUEyO4/blfrV9jzwrbto9pGrEAU5yRy0fygUP4zbcby+fZQ16ecoehJsY1yxPVbGANgMDqjs/3C
4cF3E0U9cZiwYlCgH8yKJk6TNU87K7k5KMhA2ecDQLeWbmgW04Ekicscz1JPAcOmEE8NwD15KFg/
JoU53XuNuqePen1/ELhQxwBJxivJFXf5cOTY0xh64+Btl8A/5Q1GfWVSrTPSPsXZqXDEu720G7E1
RFQ6/RIgqMnOzuWAaFWJIaO+47fzvHyOi5omO2Cv/Bm+cXcEQRw+aSj7HdNWN57CyZk/ddW891xe
cVckdpB6uLTkkUXAdZ4T4x0p0KKzibBqzclQ1pI6VVE6jYgSwOxuDpreGw/R4Ew/+irW3+WL1PKy
QnhEBz21mz9qZbs/rDKt+yerEM1X5BoQ1Iytaa4O3ahMv5vGbbyTl5vuQ2JarfEAxUT5fHs15WJd
fn1Mg4opywlo9qoTrcWz2RsobfmO1gj1bBda4uL/p1fU5GP89kB6T9Np4ArLjtlgJJVfUaMw72//
iuubhnIBvUdKGyg0oxRzuaWtbndqaMAR1NMW4qSVJh86NEZ24o7rm0bmw3DaJXiO8sRqlAWLyVpZ
XNNXJ6FVH5uxzpXAlObN9UIavfPobI5GFYysS0rRWKtjinvpkEW2Z/oeXqXtA50jkT4tOsJHvmN3
6BHeXsKt4ShCIXaAXKuUmbtcQhQAJakL55ClT9wftpuWxyGMk2+VvushsbFbSIhLF2ao2tyjq5JX
j2meNLRwSKLb+B8N4b4vdZTsxAkb14rUKSfo5mDQZ19dK4CPXVCVDLKotWLgvlBlJ4p6MQSfqV3s
+wI1iR+3l3DrZrkYUwauf8fAOkAQdywdHDngUIFqiI8oIk2nHrL9Ryqb0fMya26K46SYzukUq2/G
bhJfb/+KjY28+BGrc2OF7WKOM1/kjCjlMcNlFmv1ukUnK9rThN8aCuV9+qfAGchMV0OBHewKaoqu
D3+l1ZG7WcIHZWm4oJRp2asNyP/Y6qYB/wz8johH5oirxa1pGtZeXoObUMbcONdxbrw3rW4xzp5W
NFngJToKsnafLeJOtwWEWmC1YfHqlg2VOQ0YMnkxeApzdazUMDJb+tKc3ayzf0P0LH6StE/jITV0
sZcRb51hPhDSbzC71EVWg4207UuoFAyWI4ozLkb5VhNEvXGmdr7uzsMOX3ZrP3HYYyzSUp6l1RKb
UZKko5Y6QFMcRQtQNXDFQUvUJAQCOFY/bx/UlyLWekcduowUuMhXQY9cfi6IGALOH/hESdf5pynE
0PtNnwxgtPJcf06WZDYP3FdY7cCmKc9ja1B6KQFg5v0Yf1BCMQa3f9PWCmBuSRwJcQGel9yRv77g
BXXEKEbnFxKPOXwuonb0a5rp0LIt7Xx7qK1bEDkilprTbHprupSLS0CSUwP1k1S0P1Kq6g81sm3x
zr0uF3G1yJT9ZXuVLBJc7WqRQ2fGorMEGRNbFp7bWCarv1H0RWipVwzj0CqF+iPF73vnrdz4WgHg
AVsgRZM1tdVzYlbGXBAGuL6oTbdENCJuTjFxpXnCDW+JDvNs4yKjq3X0qW+nHBNv0Tvazo/YCrK4
LjwYe3CxJRH7cjubZaoGtL48vw5TB3HuUdGWoHWADR/qYVE+xkpRJP5kOxG2zSBTIvT2rUUEVtIn
n1SxLP/OeV59B2PLAg62hhe0OThOdMCR1+h8V+0gmDlzWt8rTSyArRg1drxpC8Tz9Z+mRcAqJXik
Fea6K6IkidGNjVT+mQwvoP2P6USuLr/ttNF2is/X3wAmJowEZIMWJ/HU5aJ1wpiqMezjgM5A/+gk
qNCglZjzlMTlzuG8vuAYyuVmgyzvQFBcHU6td7J6jlqQg+PQnDNbijW7RnnOZtyLQWrsgWCuvzmq
qDLYploKLHQNwFHIqfBHShW/9FBRjTCrP7hDugdyul5A6bUpvXpJE5HxkL/ir0ukWZIy73pIIgpq
y5SKM158SlRvjbr3Xn0sGIoqADx8mUKtAWreNLrYoE00RisQLW09DIBYpEKJa1Sn2/fV5qzkQCwf
WI01PD8cDQzEvRmaU2iHp7yoGh+FPvWo10ib3R7q+lggo/eS98J6og9iXC5gOkCrTONM8XU9R8Yv
9az5mCjhDGLJeVeo5p/bw13p0JJ2qgCFCRapr0MtWl0TKgLHqJcB81syrpMDbRWkSfsQP1Y8BFDF
RONd7WVbMIb+C3mt9YZD31vqdxflVWxWHGPuD17XWg3kp3QQbwVuwfoZHTRseQ5L1eB9s/OTr7uE
dAFIvGjMy17hukAfEkgONEQUfwor+9lup+k5q5Lp0AwYEvLTxiDynOrOTo0HHZHkpyhBofT2b7i+
4iVFAA0i3i/S2DWiLJ4tYVJdQo1Y2BhTVhKhHjf6KW2LijJYrd87XLtH5LfTx7yDTHV7+I22DeNT
WmL+xEcgky9PiRNjZg8MFJH+zJUQMNg5foos/m/dULB8QKS1OxRRWn2PZ639GJtLcqKsO/7GU6AF
5W4MZyvWvFOVj2N4TD2M9G7/wOuXl98H2AYFOfLGq07mS0kuVR2FHp7nHs0szMgLtBiXong4IzYx
B1pXtDuDyhDt8rmnd6YhFc628AmtO3Z50rX4oqOJTJZlfQ3rquJ9asdAr50+mFV7uR+SZPZTZYx3
APdb94PUrkBdkUYVIevldjSQgcFr5mjUahrKBqnuBF4Rug+GVe4VTzaGko1pAlV0t+TpuxxKifWk
nE1WFpIzsZojMqBaUyWmQFRtsXfONj41BiNCg4WJuY63Omc4NCf8zaMR6c7sfk/qqg9oUw6BOsxq
esz1PPqDao4XnoSJNhWMcMs7xFO5J9m0NWspRAibgdlz21/O2tOWDIs1eKbY0CWR72mThhtkHDpv
OtcqzrcP79ZgHF5aSYjYkKWvBqs6RwuHoYgCLx8crPxUDHsOI/6qoPEQnN9DPWwNJ68yvmWJT123
VMZKV5uqha3ReAIojJJX3woVSC4iFf3X18+MO4PgnrIbMc4qyaGEO0QewBdfMclZc9Mp7tIuwYJj
QpH0PwxF+09qXUmEsX65Y2EnahSujNCPptTDamIxIr9Lx+JfJbX33sytFaT/YsPjRdIKaa/LsSC1
9wWmsKFvmtE4BCWE8vaMljO2iIVb9K9PlKjUgmRGoA0QGufkcrjMaNgwoYS+joPbU2yLzK9yRMaJ
jI1oZxm33mcdIKrE61GigjV0OViiI8ozdEnopyaVjDe8h/2X0LKVZ6PWyj9LmDUdij2N+ZZU1aFS
jrAtTnKaW6Nos0z/DPgYhNyA0YRiOsEEJjG2kb0bUJr/fXvDN3+p5Ca7CG1x65urzwZftzlGgUR+
NkWNjkHuwsVWwro/po1jfiSCG7RDtMT1u7pR4zmYUWE8KoM2HpKwG95aCcqWCabP3ND4Jx7xflzu
HMoYe4CCjbebz5q/gM0h+7MmLEUdKmflbBHMRY5y7LzMeYT/4CGWIYwj5U8zQEsQf+dm7KxD3kEa
ub1QGxEe/FuE1/jgWak1DSBKCuGZKYC+siuGUzsoI8h3nsVwmt5CG3mtHhcBHmhUniW4fnAL13lG
a83UbT2uTiyKH3S0onxMwQmRulycten1oiByODkQfh2Mu36Ei0XVO6FigZj2fXJqqZ8d4TzE996E
Q0FjZHWJ14E1fFrGvP4aOV55H3ejfd+Oi7OTH8jPcBUOAKpEFJjyOIi/K1w12gEDoteKb4z68iD9
blGoNbu727u5cZpI8rm3CZ35UNcaBcQ+iheFehwM+DfeZUscvVdS4SFFWdR+AVDw1POjD3OPYlii
Da91ZmB3keEk4pFvFS3y1fVQGsrgGjOgG5wPtVOBKQeW0hqKcm1sBlZjqQcXyZGdsGDjvoW7Rb/7
BabGtC/vpF6bpKoPqWujhc4RdGgWYJTnHEOxf/9tRCCIEVD5BKPI17IuFbVc4h5fYhxoS7skPtgP
+4vZiOmhNdX4qHvZ9GhOyXJAppiygMigNfRRsqf3sDFjMn6b1NklsKQEejnjpPMaFPvsKEgWoZ37
ioCSwkn+ayBQ27vxZYa3OremVNUAwkKvX12rWSdYQDl09GM4cXl1X9NH/tTaSn8ukyy/G4uu+ZZn
vScf1hJrcgi892ZbwxTJrfDn0ECJnnroJjsJz8alBWdP4hzkT6KYdrkALSAH00gBUChe8sfoQJcY
Uewe7WJMz5XXTTt35NZ6k9+QmVKShRWyCqiXxgQBWesYs0wlrV+B9wj3cwMJJqY1+h/mRskT5BV1
X5ozq8GoqXYo1g8MVnUqmevkPXp56t5XJfxavzX6ZWfArfSN6ggIc4seF3fT6jgBq1EKC0WPQBix
dh57wzk7sFqD0ArPmA+9AwNrSxeP/D4iADnUOI6+69pRCzpk2R5SA63KMaoR7xPm99vX2dbCk8dA
WqKnSUi6esRTHFRnNzOSoFIr95Qu9tcWTbagG8JoZ4vlHNfHHL1iojWsZQCwy8/gr0oRVUV1cSwu
EWrS7+y4L371OPxSUKj6R6/U7A+WA9vfc5T8/aunSAODChg0H3Z9/S2Him2GYVhGgVIiizdNC/YA
XQLr3hj/Q6QIih6QCs1ZSY5erSawI2/o6yYKqrFczhbm7G/sGOJS1pV74gEbrx31KYDLEmsn3VIu
l3MOUeMv5KzcSAufjDgynqpqiV+fGqHXLSUTKb8AjF1NCHZQnDfWHAVlMkaYUrWD1xxTgf18l6h7
XYKNO4fPku1nBekSrENfY+xB6SRELlSurUevGHnR5nJKDknjjW0QKma/c/q3RiRmkE61kjm/pgxn
5VTopcE1PzdVeHbqpQmgM/6JbSN6A25oj/axNRxJH6oacsOwLb7cszZSl7FxrCjomkYJ+kYzj9xD
/SFeYvdz1rnJf9g9mUWgeiBdw81VTrYg5hN2lRkFtiDKzUIqMPaMYz2WX/8hqQWFiempSiBIyr46
KGWDh+FoSruupl6CJKxa3ykS60PI4/T6aIQz8uKpy5UFpfdyFZ2lh3JVGjnyxfpyiMJBuVMj/B9i
/IJeX+ehvMRg0roGrMVqqCZJPKdczDyYRdO9M/TCfsDVVjymiyJ23oiNi5i2gE1SCx2At2n1RBSN
W4CtT7JAj2t0A7IeCSazacvmkI3jtLOE8nev7mLJuJD2uPAPrpCWxji4i0NjLMgstfkCqqV500W7
+ibyHb0aBf0qqtoIq1zx8AA10ZBK2izoIHie59TFLqNBzkosLg5YsMoPTquhxJpNxXPcOq81LiRU
hvwnKWzy7Gtrv8SG7ay9VGTBbMfiDGr1wxAmxScEQPv7akrDnbNyreKJ+gBVddNhOBK+NQB6oheR
G1qTBlnRElzYfWhSG7ZDEUyhVzz11BPvlL50joOZNO/AEJbPHQC8x6g0zcSvisb4aVoi+ef267ex
1VTzMJMCKEFBb/36aaXutUZRpcGSjCqYRAV6SZztUVk2HneOEd1tYPSITKxbduFMEDVgWcJWz8BD
ge5jh6mTlKBvsWT2eRKO/cYWRDTu5DR7heCNb4c6GpcBqRHV4HVoASNkBiKR5UGez+m/paNEj5Fo
7IfELXcKalvzpGUO6opCApIkq2tOH5yxZKNBYJSt/UBekt0TC6hHavbGUaDX/xhafXomCDDvbu/j
xtvB+0vfRqPcAgBNrsFf4dPQxWptpcyRPmbyp7es7ihmY8Rj2Gq6u6EQewiwralScaa8wwwg08s/
/2vAPl5seEcgnLNBHU/0fcdDlybQ4+Icp9O0cT+E41IfdLSuP/yHqcJR04hKgTOtMe8kOwlKPCyy
iUjEARlr8blz5x+zOk1nt/Sc+9vDbZ0eygZ0gcmtJZdgNdEZyI+ZTsgDjFb5bWqtyKfcjB9X3Ot/
bg+1tYnSrZtQQ0Y4axXRukQusFzUPNBFacMxK7WfZZ8X70eNDqph594OSuv646fKRnkGYhUFfR6w
y6kl7dJ2Y6bgdZgsmY+zTvW2G5c9dc/rBbwcZRVmYJ+XlVWOGkGr59rnsSyprWll/34StAxeu4Bc
MYS7vChsFOny5YQ0pZ27OF8kbDR2nlFq/aEslX3ngVp/k5fjHl73+gVjOGl4QvYGSHhdOjSFpTWZ
GpWBK40yKpLU7pBBUnurTkuL8gu+xQdLyNxtwv+R5yxL2p244PrI8BM8agP08QFWvuDw/voM6xDL
HxVBoACEm9sFemnWn6ypGx5Cw1POOQo1rxZoxCJHimbI3guUj3WUOpYmfRaXEVW6acesTrTz4sYe
DShzTwph6+QwGKbJNL6BYMjJ/zW5zqxb6jtNGSA+09Nnpl/xBPOuHQ55aHk7WI+tjwG1A5nMILRN
4nQ5GEiw3o08gSCiCeGVflB5wGc12QsD5BNwGfXIGck4jtuLtt3qa8iQUkS7B7WvpOlMalP2eMjt
0aY9vehBakzeaZ71/Fjr/Xx245Buf6iH/97+TK7vbl4B+ngAGChUXukuqU4Wu5WrF8FYjd7BEGRS
JVCQe0zpUz80p/meQz8H6lyMO0XYreMqFbEJrkg6gPBcLjK+8YsT1twFfebOb610/pNb+lgckBm1
fYxPxPH2TGXKtF5tdBCkxA6PP+C6y/HSHIxypDKe6iy/hbaYw6EqRfk4xb3jI8RcH4a4j3eoolvL
KzEoL2Z30JZXg1aIkzR5n5SBZ9IV6kLCKSQREFwprOxpGLTsnCVe8kVThuj19V8H0QCpM4wqlCzH
Xs63TOqeFhHCsEo9xL6hlN3bOcYbqEcpKshLq/JtO5130uQNThCPMZ12uiEcKeqhl6MqpVvbo4dI
JsVZFJNKT8lNP8lt4wdXRNQfIwAk5b2Ccmh/aJ0QKyGcslvwyKMUW+2Evgduksdote3AQTBKkwxl
AH/rZSAIHFIVLb/FarVDkznLA7L6aFfpffjn9gnbnLxn0vtDqAHmzRrCbdVRZ5n4mgR5ZougTous
PsQIF9QHIlkeVCsZHysRL19BnBOFkTCOH2YrGs6NmXr+zo/ZuF1kb4eXz6P7gNHp5U7MWV9QRkPL
unBiBBT7pfg+yl8xaWFy5+IgTdTtFvcWCiRB5enZqbXNPVbJxkUqMxzgyRS5ZNx0+Ru0PkSyXOE3
gBYQGCKMuKR31d3rZ4p/EgO9GMciXXc5CrdloYQZaX5E8Kc+NbElnkx39tAtaDPWmTg5rg4WgWj7
qNhJ/CXM01YgvWKSZ97+LRthAK1m6efBwsOFWC36lCozBu5RFixaVz8MQnfvMq0QD2UFREwxQuOh
6sfcR+lh+DzBVd65bq4PO8hEGsI0RAgBKOdcrsScmBhVj8hZLXMBFhpLQH8ylPgwDkob3J7p9XX6
Qiqh84JDFMpz8s//fpDzoZ4SbHV9kHweTF6t/jLW2RyEzVTcK7i2fDUnW81ff6qp56CAARGalJ3/
ezlsX7XahGmDh19Kr991cHuCDEL6E+QtEWDoytW22Poz/Iq7WbjVG23qip3fcLXHLKwt22q8nIBB
XsS9/pq5kndd3hua8GctAVaWJYBC0QOocvhSo+IcNHexPsbVnPQU6tupPFJ+ze9fufr8BtrUtC5J
Q0hoVxstFOAVOtgeJAis6CGb++rsmE16jFPF+SCG3Dt4866Z6tWL/TIofVnED6TM4Cr96bSuj8a6
RshQqWq0TuLhLqzN4djNxVclCsfz7Tlel0nkeFJpB1ohqIp1CA9DezSQdhYIaxbelyq364fWi7uH
elnmwEAN6q73bPFAwOC8b4c0/IAPqnU39N7wWE2q8aOJ+tna2fyrB13WEwHW0aKXccsaFMl1kqG2
2AqgpYp7Kqtax0q+7H2zzaeD5WXCzxxEyfQRG9bby3H1bcuRkX94qc8QrK9OvoXrpzeAEPD73IuO
Tdu0AfT51J+ddg/DuDlJWaCVnjxyzMuPrKBDbGKuN/qO3SpvkV9UD5B5tbu2SOuT8Dzl1OpNe1Dp
9u7ExJsjM6TM54ny18Iznr2UilczSdcaoe21U6M9laDGfs36Up0rzW0/YGLZhpi7q8ZO1L+1wHJv
wSjQz+UtuZy13tV9a1eMTfwytn6VGMY/w5zSva5ML9vr9F3dnySlPBA4hUHaAZy4+oKRVpjKboJJ
4RZ1cV7GGCBmgrHusxCdOFdG0Xxw5gGTzNunaHNYYhMyD9r0V3KaaMgbXjtlIxTaYjmHhrDv9HLC
zDVdkqP3YtRSJO3O0d3YVYQd0QEGjQAMa31jgr8mkbQRMeyyNsVuuR0CrOuNQwMtC1bBGP42HBHd
90s6nm5Pd2NPoZGgZ/ui1AIv/HJPaZFrIwwCdGxLtbyH8Z+9cw2R//s/nJ1Hk9xIsoR/EcygxRUo
0YrdlENxgQ2HXGidkL/+fcl36ULBCtbc2bU90IZZmUgR4eHhrtWavrN1N25HsFzeQ7pXZIVodWiy
uTEE0e4QEAKiTTNgu4TNRt095b1hviurqP1ye25bnxK5XIBf4ltJbL2cm65H6OF0zYAbZmweo3TO
73PDQ09DLdtj0oYoBk5J+dZOL7btH7YDEBg3xPpO5j52NWj8A0yseDqFyMw9jHUXPdLxHf/Ft6MS
S5cOGrMUb1YIjspy2hzEIWiRQT0naau+c8e2CBK3D7/fXso/a3WRJchp0U5mg9RSKl2j0qKzMHdw
oiFQUq1/6ZUshTXLm2IFNLV6sY+wYtKeZlPrbb9RvPC7Fw3Zx9z0wtFPo7SnA63JaEMJDX0+ILKZ
vzcUXbGCclRj50HkneMdlDw0v3mE5O/SMo9+NGj+4wAoqDL4MzDwm8lk4LEEoZw4+j15qFbXmZZ1
tRoPHldpn5pPvSG6c+cN2bHTvO4RWvhe1f6PRcVqDaWkstwU8qSvuZa2NkeL0RBytrApXKxB8I7/
DWiWW36ah2P0sIgx++6wksvdUBZF8SFt5nw8AJ4iqtk7YfLeHcLC8y29RNoDCFbMX6d8mtCxsJAy
9pd+GT7lgzbuRM0bJxceieyh5PxyE69WijJsbsehMgUkbPSc40QX/Wp7q8GZMvHiyEfLI3F2EoWr
zIivw74GoydXJGaXv+lVEKnhN9aOnYZlWj3XHyLP+yn0St/Z1luDYOUKIi8VBMBaLgcpuiXRRKcT
MsR578eladMMU2bH24dn4x4C9YTfBpMBUtOaaLbUtZuoQiEW1Ybljk863JuLkOoB0Xy3FGiYZ7Hn
7TwpGxe7QQEHOFC69ZIOXE4tNWfhFQtxWNa25f+GeYmXU6g4BvUGFOB2gr6tGUKiQ9uGfUL0u0Jx
1GHpjDQi4q/rBNu0YjbrDwLhua8t0o/oXqTtyW0j+8Ptdd14NcGT4bRTUEYxdM32SrtRGyvaSYKp
UoUIotJOPqQz8o8D5rxInOVW9qSaWfIuF6Oy8023lhcWH/RFGnpB+FbbE7ZeopUel4esCh77dlaj
MzWPbpENgcq486hs7VM2qOyyh8d/1Z5Rqt4EZymeAqcs7e98c1331dTeQxy3JiWdZ+mMgd5Ld/bl
nlk8r2kt6vEBbngzZst19zhMtfGA2AaSjrc/3tZYUvbdocYLtrku0k+8zurcQ3PuwbgOVjwR7nSa
2j6lWdv9xVmQ6vI8XMQ6zlq6o0QyEl4jBgSthnp4yPYIZiq9D7OqpTsnYeNLkY5xaVO9ldzL1bHr
x2VEh5STYKgIkHe1GT5mZVvv7IeNCxkAEUcQ+ukk7U7+ileXo2GWwijmkd3XxFQyxlpzqB5aovCt
Ia6ahzm37Z3g/xq7w6kPPjARKgqGYOGrRwDopOFJcgd01upEOXK61d+0TJnv0HGa/4eXH/wKLe1q
WBbeVKiHLImKs9oonU43XIXY1Jv3j8x+aTSRNyuB5eUSxEUE0apMubqBUfx0mh24AX11HtFD2Zn6
xlaFucXLR9IFML5uSk7HSU/BOQYsfSv7bHXC/tI3qUGrXJbvDLVxpVmgdCaVTQ47lIvLWdnAbn3b
Y0kEhd88eX3xS2jW+Kw4+vRiLZl65zb4FqCxa7x/83JSoZaCIVgKSjmPy4ETwTKGBnO0rDl+jvLa
IJxIxjr31cKYd0Q2thaUfEYqyvNooEx4OVjv0Jbcz0gtlE6XfclSmp9VxbCeoOmm97fntXFSpK4d
QSuwDPy01VBmY9m1iiEBPZrK+Dx3mn76wx7t2OEHox33eGkbLyHjObJghTAsbNDLqWWe3nm1ZqFx
W/bDKQIh85Wh+WJrsXHn5N50X6q7vlvy5K3iSq41vh3hEqaJa+KpragImCZDH8yWmRV+RI2w883Z
s58jND1qvzKG4mvOv2v7Ud1Un3U3q/Z8Gzc+KWgb1BFOCk2djtzYr26k3gs1WvdY58jKiv9iU8k+
zqo3v7NdkewF7ltrDOhFjZPaKvJPqzW2W8tNIjMmr8PA/L43JutIi9TwLsWV+yDF5iB053t64VuL
/HrQ1UYSWqotkU0CVNsljmGLM9/nS0SXcZw5uJanyaNil78Kkl+p9vYXLxiFUOqtVK4RprlKZTPV
6mI5OuI+5qEatfpEu72CU2zZnW6fmK0vSdcHVQmyZp6W1ZdszSgCS2J1p3iY77SSvCunC+UgUlvb
GepPA81650o1LWrW9AhcBRx4/pStQH0wcAa7Oy5tnT4uip4+tlqc/agctAt8L22aj02vB1ba3/V1
YTd+YbYJPQy5dZbBOxH0Yv/CCWFJybl769+4R1P19prIj7v+nbTiyY4j2c9pr94+d1p0Gxo32ndz
qfxypnjSfVyBm49dTfs32iPap9sDbnwEuiW4svgQLM06jIAzXoos5TjRmYZVpZt37wow5ZPTRsvX
vxiK3iZJTaIkszYwMEbwvnZQexSrW+WjUWbwoLK54N5qBmMnkdx43nhcYO6zigRI65SbckFTlNbc
B42L/rRiUHDsOOef+zJVUMQs67saMqXfThj03Z7lRlzGyERlUoUH/HIVl+lzB+BtTX2QG7Zyh/2p
HXg0EOzsk2spJ0gRYAqS7uHJrl95db26BpuaTGMx2dBKoRcPdpu9d5xmPI5upBzNSAk/joOX+pNK
v1NUm0g9OuWed9Pm1pEeVVJdUyKolz/Bmw2zYyF4DVROrRm55kFxSXHhDc6H24u6OZTE+JHUoIF7
bYXVRSptUqnLLvVm9w43gQwNz0w7cau8mZwgF5YyPV1EUkB7zaRx1SiPF4qCgVc74TEZgItErEfn
KBZ9IMifkRav9lpprvsy/4wKMRpxQ+kwudo1S2yrRVwafTCgpX5aCic7Iju4PLuo0d1RPHbmU12Z
zSlzUwN7xSqvIOOGw1Oo5uPJ0NPxPCgjynxO1MfHHB7HoYRdsCcsu/EeysBcVpz4Pw7W5RdvWjdK
o1zjVHXR8NInc8ozUXkP9AWmnxBi9A42lca7299+4z2kykdCRQTHeVqzRUx0EqBSsc3afhru6Tdp
v2fpMr9TlyU9D32RWb4e9uFT2iIjoMS9vucjvjVrTplkrRvgnOt3akoFsE5M1GMok3vOO3d6bCNy
vMhM+kOj4LWx6Eq+w8nZukbkPkCpAEyKvXi51InQO70Cng8Gq3LfRfiV+H007rmFbJ0rau6gRfIm
AZ+8HGUy9RrhcC4rs2m6o1aX5X9N0f0O00bsJJLXYlqSxUW2QcVDKrSsCQh9yJ6hMa8P6i50fcQl
lZe6FN9sW5TPuhKV1C5N/aBGyozWawlnX606XOEb86nMivj77T21OW/JEZRAGfWXVehRDWM8ZLp8
HqxQnAyh/ER1dvhMAaTaqUVsbB6eIAulDZBWSMirI1N2mU5sHoog8yo18ruyV+5LPe1MHw3z5SVp
K+MDJhd7ZLKNCUoWPRggHjeI4awmuKReP1RL0wcT8NwPLWxcf7KE/TIV0273+9YU0ZSHsQrejGjB
KmaJkfUPuYfJfHrVPNV1PH1BzARgQh/tXja5OgenKbvQH0UnML5C+fCUJU5zD/+8PHtmNU++W6ap
eRzM3rv3EipQh0iplONoNdNfbHnodbTNSW49mbuczauHs861tk5GDzPkGBA29+LkkKdh+mQP7V5v
1NZHMLkvQLn+FOnln78aalLmqleamoVpaJpLpjr8Gfd18mg7lbOzzTauC5njyoiATX0lv9UmiVJE
DEfVhBXzOrs4aqHQP98+NhvRKVQHqTAMmR36nvzzVxNq5hFnzB4jaaHqM2K/Y+E95dDmv9eTcJ9T
JWv/d3vArRUk+ZIdZgRNdBZfDmjOVjvOlcHpQRfuzjTFZ01R8LpJuj0pts2pgRDSz4O9MyDLaqQ4
r5tmZCT01QgOaV4LkihEryhXp/s+LeOdV20L5ZLRoYyDQQxwdrgccI7NSHca1pIKSwjhUY2/TihY
PhjmgHNDC7XmiLOD+k3tLeMp60PlWeH1vRuyplffjnAR+xOsyvYi0rHVZ+2asR3wdETbcGyblzws
jEODk33s232652e89UVduNnE5vRkIMh/OW1I8wYpLetcF1FcBGgPWA9dhXCibyjZ9PH29tm6mcAI
wOwhrcB3X4Fck9LmykLxKqgQgvqeZH32rYGU8qGiZ0scRnuZS1+nCrfzumwdRk9DAV7CBnRgrj6t
6XT8zZYpgmIK8ZEVWXhS+ko93Z7cRlwkTdmgvjA9qgOrs2EkvWMnLaOknhgP4ZiqPu18NCLPhRXQ
YJo9hSJPnsYKd+rQGvZwmO3hKUyQvVNmXEf/SjQpIdJe3AUFndHlZNU0vc3G0ViEuF8csTwIyxBn
b/IU6rRmuHN+rj8tpE5ODYE6JLsrIZN2nJpUmNAJMm1Zvk9D7h5D1PrSQzV5IMNF6IyKP1SOunMF
Xu9fsh3+CxxMVAaf93L/lq5dVWUcjwEmO0A0c6G+7+z2pbU4qre/75+I6BILoGDIqSTBgkkI0nc5
1Kzkk5F24CNY1rbWcUTF4r2WYLfqx3ObfVdbWz+HuqP8mJa0fKGMqT94SRo/Sgz8W60NyhPSt+6n
Ug33pPa2Fp/SA/KjpGMSH7v8ZXBISiNzwh6oJKTbp1MxXGqxe65woOpiDCJdy0+6ZY/xdb3lOMxA
q5Jqxw2yNqAVmFs7Jp5fgedlReNXiztDUu/s7jucQ80OkFlIz8ZQDz/iBa3MU2YsmFHd/irX7wS/
AbkpADJuy6sC2VJ0tUM33BDE1dCcOzUfnpNI1P/oFK4/U6d5s4yHBDn592jPg3dHC/7lUi9OXOlu
Asw7FsBOGBxlh7jF2Qxmi71zpDa2NjOC3wHri922Zuj0qCU7bc7fnfMcB008RPBZXBuppnKvQWZz
KMTR6LsntwOhv5yVkorSbkygINWLnytXOioVnlY+2nq/a0e4ORbXFHwg9IgJXS7H0gcnj8qa1Bqk
RGsfJ2usvbsqw9Re9cr5nzdvDzpzZUcpJGjqtauTEcdeog4eg9UNHghhbD6nxhImh3h0ioM2j9le
C/L1W4OaHnAWQSY+nTwGl7PjFUgMzIgBNiFwPNPlCMO75ia4Pa2NAy83vNQToKoJOeNyFLPNFEtM
pBMzosDTIXbRvfDruMnu5snxPid2qx/TOqz2yv2bs7PhNBCfELNfgf2Rbs8YWXPRhIo7Bl5SJWc4
HOoezXJrj3DFAtlxqcF3lL/jVWCr9rTjgBwD8BgtLNoOEm+B7EeQAL0dbi/l5lDyb0PTU8Z/q6Gy
Og/TkapUYNRqFBAlaQ/FMPxn9qW7g4FuYIRo1VElIeHmpBGwX85KQR9CgohcFm7XBK3ZVb+qcnEP
eWNm99Wi2E+mMD9Gw6j9TJNk+Yoz0l4z3tYHJEjhTKB6wf28mi2q2JbwUOoLYrqogshelhNK3enO
mm48DJT4qCA4aK9RmFodcRzRiqrNCxicc7zwDIzh/WDNxdGo3P6daLwOsz4BDotq97kxvD2Hoa1P
CnOU0jAcdODtVbxn1K0RWwPFmn5J0tOkZM0BXQBKq/Ykjm/fPRA3Ic3L2IMn6PKTdvGkuEVZYUJd
plbQNXN6GCzs/iazeXNLIX870Qd1INrQuc9Wny4SVJ4bFdIfquvdT3Xo6i9enBb3MdSwnZ26sYDs
DpreTGxdaFdaXS/FLMxSWWrqbGQhB7OIm6MyOaNfjJ339vcblTWb4Bz1Ue601VYZ1XBAHgU0UV14
ARJdDOhrS/1bF7wtCuoME5nbn2wD+ZJtP6iVILgGsXHNZ2gLKx9U+a6WKbZmfpEvlfW+V8ZRO1bd
1PxnCzMRkMf70qLtL3U+NIWj0V7Zhc7LlGEbcozsUuv/3flZG0cTsiodeJ7si6dYcbmV0smKFNvl
dsjLqTkpo501p16MuLJxadS/bQs6SUADYqz/08Wj/S7DkqkP0jwun80Uh4OnyYodioN5oX4SxpTV
O+HIxqGWuAmi8NQ4iEdWpwqhnMlSkxT0BDL0wQYgCtCFN49ek70kDS6LPFPa3TA3PQC4Ye4UWLa2
pK6bWDaB/BpQbC9Xp3IsMnKbCdcx3rPw0JXHJNJ+qr2t7SC9WyMZkukC3YqWAm91zlIvj5SGJI29
h118VQF7wrqJA2uZxp17cuMZl8kiyyp7dyFEXE7KINqKEXoimIyb+bFuo5kwtnWhXiRGdG70Geft
BhT99k6Tf+sqj8F9x+Rx5cEjZ1jFRA6gakeD24AaWTIGoz7l322rKncILRvbhVEcyQnkYqRB43Ju
2BNp6WBCaNEwyD0Ui9Af4y4z/vXS1DkpwoxPiFbZh8SLdL9SO/Pj7Un+4QCuZ6l53CywMSQOt9ow
yeCZOU31QyAGHLDv9JCGnMCYw3Cm0U6LwyBsaIw5On2tmMcwrsTk4zrR/U7p7KXftld/NGXcnCs8
iE5DGMb3I8qvXzolS+xjlI1mdzLGWFf8JI878KGRa/SYVJ1dn2bQMPoIrXzMHxxLKY+5EXnVzvyu
s1FCCMlxl3ADcMoabshw+xI2kRE2Zt4/ST2cvdCWBVyZjnqKR2WqwCRqnmlHKmBiafKqQy//W5HY
H0qB/p0lPtxe8qvdLHcUqmp/+vwJplavRmoNWULJECgpmq1HgRpU5quNqz5G4E4nR7i0UhPw7Wls
yA958aH/DEsJjGgGcH0tDVo7+JDlPBxBNHseubnXncwOousSzg6E0KzbeT+u7oc/BwcyCWNBk1gf
2gLYqkbLHMC6cbxz3QzjXR72RSBcfdoJ87eGol1NCoi4xNxr8gfJbQoxnWKFtG4+CMtsSSb6Ge9p
bY91LW/v9SpCBaCuRwIoSaCXx7UvdatLioF2LbcNK1q1hPlvkWnhV5oyuwNemagqpun03M+LuRNt
bA6N+qmkuEBFWJfODWusUtUc+YCLHaN7q5u+W6fD2Z3G6GmS0tVF0+Z+N9Vv9iPiU9Jgz/9AfZn3
6o7KlA6Tkw4GcUrjnC9yfUEb3B6PYd7uSTtv7VIdZij9mSgI0Xt+ub6Z0Vqp5c0C18su9wES58Pk
IcFZWFZ+WAZb36nvbY4HpGszGkH4uqIGEslHpgwQqKqiHosUbntjmhjhuFhtUuTba+ffHI+MkLWk
R4T76HJ+RFzpNC6JtHjPxo+ib7wDXZHVfWtHEEzaec8J5LpCz7czHFg5MHPIZ9YLqitVAxxeEAEJ
1DVOqoIpzSlW6GkKjN6xXorULtyD4Tk9746nRC+VaorxvRr3C+ufxuPol51Rur6b9S4WCCWtmvyh
/on+e+vNGYn8sYjd/zH1JR9erQ6556ShU0HdhOf+6E1u+hwmZM0ktvm327fwdZbJWBCHSNBR9ybR
XJ3kaEzKYqkVKieKqnzjzNbfMnMx75x+1n6KtqQDVitaql5cAh9NxV1+a2rbuzvx2tZ+IKlmNwC/
IJqzynXDmT6EFNn0QM3D5ZDFyfzOFLr9VQ2T5Fvtqvk/t6e9NR7+LLCTpYcQKlqX+w/pxpxmthb4
uzf6lynMBFr3y9DhehOm2UEk9R4N4SqMYp25sGgWNEBcgTovR2yirNactuHG7CrlM22Q2oc4Dnei
qK1poWwKx5MvKovWl4Pg17Iso1OLYPRm+6Frik9pBwXNyhQSgGnQ726v4taD83o4+XNe4S6aBp9U
dSsRoNxfHOJE94IYWddD16X28fZQmzMD8JBsJYPq5SpacPticAoK0IHitvMTmKT6oSIc/1YTz1W+
MnMF+28fETRAKlBwIUKXuZycGnp2SB4vAtdtxjvPFZ0PRmH7ZWTZRx1a4c4RuG6dY4cgrkjkB2eE
DHc1RfrZLGsyeFPjYTLioyU644MOpmOfqHK3n5SxFinWac2UHDFlnpMjEU7k+FZbii+Y1s2Oj+6E
lgcxBXjrnuuDjvlS14fYr/LaNvxEzbX3adxBhLJyPbtP8Xoz/cEo0l+jiYewPyBdqe98t60tAk7G
HYaevxRjv1zFjg9jVxar6DkLttHAuSdhZOrZo9y8k6hsbREwW6AcFZVF0IjLoRy3rJ3SoqRVTtl8
bIfC+glAlgWjbSmoAOt7Ge7W1GRjD5Vt7hEywMvxYnUxEi1cGE8H3CyV3ggEMiFn0wz39uLWUAiv
QJ5DAY8e59VQWpSbgI6UeJ08TNBnHpundJ5phOnKZCef3QivABXIJWlqhlS6rqQPlmIP5hz3QY/B
+e8QNfvKr815CGxVaR7gXhbHsVarw2j1TbRz5DamSc4OId6gWsLZW92RbedmSVWXYAZ6Uft2Y4m7
DJqk72hjdrp9ujeHkixBeOEUo9YeL442t0ZTEmwkSfS/QVTGSa/7gXLUmO6MJL/NKlSmixnXGipf
yGKu4cU6i2nHVnlgo1Kpjqns/Detes8UYGs+FvcGMCqv2VWawf3r0ZnNfISFdqkfN+34rRH6OJBr
1vnPty8ezxh1W1hnkKNW32n2OtXCMq4P0LhLAqUfu4ccf4RnxL21L7eHkn/V1erJ7kTuEPoR1m3S
E5aJdpoDr2geNpG6XnlnYxn6U5aNVoD+tAY0Pb4ZZZTSxECMxCMgEqRSlycbCd92qXsGhdsSPvU8
AwjfjvppDukzHSCe7SRuW5MkZSOXYe/LvOZyPD2mycVBZirobdEcR7MfP+IGbt6xnZySPqq2uk/Q
391JpDbuS6nOzZ3CAyeLk5ejLpPZWQBxvDdN6xzzcnTvPYRnsHhGUQ8i6nC8/Sm3tiiVE4pQPN/A
gqtdk6VJVCEr3QVVv5THzOnVu0oZ/4PIvVdQ2FhPOrYpuOJiBAa4bniXVQbROUrHOwerOQ5r/Wtm
5oi/V6pKq4CjtgqWn0I3f9ye4cbdKbVvZf8Qo1Nqu1xRLtOwaWWMN7XGdHBTxfK1Ka/eVYW5SPMA
w08rK6aAUzQ7+du1xAtqp6Sl8hkC4rlyNGgxx/HaHoNTuxXVx4wW6AbEYRhfxAACjQuKETipWpzS
XlQHfWnFh84bEbtHP/q/elbbY6Sk1V9gLVxJ/Cw0AeRzslqP2piM3qpImKG/jEfFavT7yDBCv/TE
fG9Hlnq+vf7XrCy5Ch7/EETRpLCOEo3WjcGcwQY0BZg+6JSKACnTi8S9U4Z++ajNZWee+tSLHsBn
K+0wKtmQBmY9t/8b3IHY4fYP2tjy/B5ONeq1MkSQf/46QG4SN9JVfk889YSPdWnh/Kp/B6r4i/hY
agZQIpfmsnAOLkcyYHODtaQABohWxOelIbv0Z8cQUDqtIn5OPSPfo71vXCBUJQENaIwnPl4Xrx2t
sGqa5LqARtnmNPR4D81Se7ngofq45Aij3V7NzfF4Q2Uhhmd73fSI8KYdza7eBc5U2T+EmOpAKLlO
wSOipjAVb1biZzdJkUPgaMRBrli4roibPhdWh8SLGfrm2KmBAdZz1oXyN0NxmXv4sMjOhfUzpyxO
HluN1tGZZFACTZvk3TR7v0xvjD6+fREJjxGM55ED55aL/GpL6uGSjy326IgM2PGd1SHciBv1N8Xu
cJUS5AK3h9s6AVyEsicdYiY8jsvhEnQb5468Ipgiq/fprvECs0qEb4+78NxGoMWnkgwHAiDkgFZH
oG89i37mGEDZNTvsnhPtDnX3duem3dqEkmwJowv2FC/M5YTqJcETT6Pip5e68dIo2JfoEMp8p65U
n6puuROPb95pxI9wweH4y97UywG9xOrS3OWU0cxScocACiaV8I5KqyWHJRv70yxc5UDLWyk1Vmy/
14vuHLWOufNLtmYuW7KQbKOoDG/v8ocIt6VbQuf91twyC5oFb3K9dlp/oip1aBrUsW9vna3vif0F
R4+FxvVs9T0TCr0iSfieTR5ppyxyrKD1PPv97VG2Nqiko2EKiCYFQd/lrBJyC80VmQha/M+PwGG/
ajdqPtawPHbWbys6kMVQrESl5eGaVwqs2I6GQbxloz8dJJjbfw/HtnoC7igAn5Ll0csQkyF2iD7d
nuPmSnLouTola2tdi7WnDHFhAU4TD4X2taySGi4HfTC3R5HfYxWqkwrLFh/yD6Q2VvGkGGA52TUQ
Dd0Eyh21/+R7YpQ18pDjdDTGDkUABJ/u1GJQA23qk53ga/NDSq7d/w+/1olv6zGxC49JFkZtU/me
rPeIN7QBbW7J3e2Zbn5Jm1ILoTpCVX8EfF7doZoeK7qmsDNbcodDpUXqmT2KVqWbEtyEixFQbWtP
wl32+nA2zyBzJI6WdsLrtFVJk35h/niDK1EKQW1WD2asWkFMhBfMDW34fzFTORp8Qnl/rzKT1Gpk
XxbjVUWcP3txEZ7nQbZ+ukU+ZcewM5WP6dKLj4vmVjtPxx8Kw3pDEchB2ASwhwYlv/irZbaFgLTg
RsCLlFrm+7ExBg29uiX7B+aDqt+TgToIrulK/H5M+9jmnc6zYz7EIVISeALZgUgb1aPRATKkH2Ze
V/nTNKmj3zWOrhxns1O/uukwtviyD4a5s3ZbG9IGg5S8RUTE1008yqwbXYrBaIB6f38kItdif1IX
hM1qdPHf3K1CsPJ6tNVtOVepVqa63JPIb52mPFMpMydF8pAsjrmHR21tQ9J/lCewWMRaavUIjvDe
utEDbdBFswRkYcWdij5q4OZzdfK6Ot65pLeuFr4onTE87jyGq50QLUVazApFWwjSyqOBRqTqm/Y8
q3RzzkMdNKjgjYde6+N/0txy/5tmk57W20dh6xKlxU6iz1Dm6bK/3I1ZEseKnbUAY3msPi51a32y
7WKvf/WaiMB3JI2TBF6aseh5vxxG5+ulYefS9FDFS3ZO8D/9FbUjKvgKOx/ZXzv8XJT4JKG9nBeH
RMvj307oNgnFIowuQQgjyijjNBXvlNIIxQH93GH2R8VYet9ti+VH3deiCFyjqB0/7ZQQVTHbmmJf
V7Sifk46XaOTPG/K/DC6onkzM4e9QQ0VrAPoCJ30VUDoNHXWFrIzcuoL+2Vww5pWXTU7CaHuvLcb
549nXfaJUbSl5Ul+0FfXR7M0+O3UoCpZY5k+ghbWHSFW6OsprOjbe+NaoEAyPXH/5JuBiV01U6Mm
SiDjkvl7YZqWgVPXdO8uyKP8SFJd+UBxNXX8KEV+9Z5+od76JOrKZg9b0Vj4iWVjarDMqfbOBQRr
/VSt++Sp7drxQzezlKc6whF6JzfdAElkRADJWZbd6FO4XJ4FVvDcpQC9JpyBUzJb9dFV9DKwF737
NVdxnfh1UdnWzq24Fc+ijACaJ2v4kv5xOW7t5HaTxKTarZGbz0o3WgfqG3HhV8AitAkjCk1n/zhk
gZvREj/MiufbrVsdOeJ75iAbW4RkUgeqAXiT9tCXvwV+u1icxWsCZCGMn0k86EetceG7dsOc7b2l
GwtOdziEPd5uGhfXFCNXAXLQ3IG3NGzKJzcTRjB0Q3Qi5UPmMteLH3iZ9ztfeWOGDArGzX1CBLgu
rGLxhLZLu0ChHRvkyftevzd7VcXeW/xFqUc6KIME8FwD3stH4/V5Q91N79y2CzpzKI5uTQl1yCf9
iDbqHq6ytZTyVENJhoByRW5dXHeyipwsb9ARhID3kgcdTUtnu4YiXKM1+OiY8V7stbWUcgnJFsif
aWm8nN8yunakY0qGDmSjBWaaipMpHLgASSd2AszNoQjw+A+vwVU/aD6qiTUkZRfEhR6fI680zsKr
x0PZl3v0vi0CAFVV+lNoh6ERYU0zTxK1ovIP9FAmnLSMNuGA+k98nPQZE5scXUmrrzCYTurp4HlU
yNUx63ZShz+SlqtQD9QD+t0fsTL4opdrazq1Wg+IsAZSb705VXzWzwAV0ZelrR0E/jOXe7LOlDy6
c7uB3sZJrevaL4TIXW4sJ3p0tIlaH1CffT+WLWF5i9bXl9vX/EbYgyM5geifWj4o6+WvHOKmQhZE
bwMXJWXqOfFyNHrjS9dq+UPoWdEOQL+xC+iSw9AEZI+YYE0trdQZ0ooN/gQ7J8fRO6zosgyjp7pe
1L0HTC7w6gPItjiEQGQbOJbyl1Mj2BtCYwJlqJsptI/G7PQHitwGQl9DU95NJXbsvhaGGFobs3JO
8UMufFuxlNObl5i2ORkj0PWA6cZqI9TgN04yAa+ow4whMQ73h1hP5qPl9e1jVTbRP7fH21xj+HKy
BUelLLG6tGqVBGFaSMoNr7ehlGEBCMwhHgYggTfHI+QynsG9hWID98cqaK6mWdOFbWBiFOXeHaYi
+HxpsXoqGrFncHw9KzkUg0h9QbCa1UbtMIfHutlug14tp5NFd7CvDmF/ysPdXrDrMwHUDgmEqiMv
KVS1y40zN05mhlUk8cQFJXNziO8pgsfHxdYbn7JAc3/7g/2BQi93KgsoRUQJmmSRR8791TOD+KpT
USFjboD5RlAOrlWdBoVU3B84Iy9paUK/xt42I4CxhPlYZaaHd4DpRh0S8yOpgzHioOGHTllkR5Si
jIe0CIdfqVvopzBMRHZop0l7Yu1wMqzRY34foeARH29PZOPiBaXk8YJXTWmf/PpyImGlzLaaKW2Q
meb4GwC/uK/QubsvC3rOfEcR4phNindusPG999xQ/Qrc3kY7J3/r+0lXEdnrzFZZd48naDplTZxx
ySi2flQiRzmpXW+dh1DX8bPfNVzYiP+QmQDXg9RIww9B1+W0vTY2DEXeaviIW+/KaQRNMESq3NU5
ZpV5eoptc3zKuPkCEU3OQbBvNWtX/ug6hOBnILynQzdn7uv+CXPGPbUXPLFGZI6Yyzj9ecrjAbHq
jsgd5PEuM9M9mH9jsYk2oWIDAFI3WcvC1CRGU95ZbeC1Ll0/TjU/hUbSPY9elvW0fg+oC9/eZddQ
FWKN8CtpoeXIXAUto6OWVSid05pcgQvQqHOQjzqy5g11r0RRLHzqRvXgDHrz+fbIMnZenVOpTYOp
CbUTjbDw8jsDB071WAPAzfFkBnVZpe/cZV+IYXMYeqr4h7QCUZjLYZq+y5Zw8tpANRtkJUJ7ru7d
bp59EepZ5wuE0eKjgrThMZqBXdNEST+PRaIdVC+LPwh3yKtTG8bxaYkNd+eu2vrc9ONKuBzSKeWd
y9+mdOhU6glna0kr/bNh0v7Sjk52ciJYLgctBOM73F70rV0tFZ5oDkFxCW/FyxGb0FZByRhRUUV5
LGLTDGLhOi/Cy9CfU3i+LdCxnUG3pvl60FVKbzXVUthqTLm9z2yKE2lz8BQiB9MO9ZchnN6sDseK
yjCMUqc0H10n9qo6pmOU4Sxhz958D7ms9ZuwVY6YFC1+70zjEdDSPGP9vOcAfjVT6hC034ACgYUS
m69mWifObFPgpxdGSZzuzjTbCBEMaYGBuF+uZudymaI9+xa5gy8OEnkpARFJHF2S0L9WuHq4xGk+
Uz0Lerqri7PeG92T1YbaY2lr4Z4q3NVxkoPRAiPVPcBe/wTqr17XuctErVcVGXC06C9FP+knrymd
z7e36dWtxCg0wyPgIxH069KOSgcTAR0Em3GIPyQ1BQKoljUItrP4xBE0SIJgHrpq3mtJviZKMDT3
IAgeKaqFGN3lCZFCklWlAJHNrav92+tV/Juo1p4RQoUaQChmSMNpI/mFdffyD5pHkedHU+09h2lr
zcc6xywTKnjYfry9JFcnV/4uXgTARWhLrP3l73LcQpsUgaZVmwrPCJo61E7OOCSHaCBma7vaAgrR
/o+zL2myE9e6/UVE0COmwOmydTbOtD0h3CIJCUkIkNCv/9ap0a0qRznem96bZQ6NpL3XXg1SEv77
sr953/BGxiwTGgK0gf+spqor87m+Us1L2Y/v00RoAqww/yP9+Te3B9zjOnQGcgqS2nVl/c93herT
zPgYcB0f85PIKRmbhHiWtc7s5CNwYzR1UbRu3/77/n7zpV0nwin0N8gzg6Tw79cdYTgImQquGwYM
aSc7L0fCVN4omoRDHZIaWVckb4BJ/oli/u8nC9NetG1AKa4V+D8HxcaDAoWzB063vFrvkz7aXwxb
7B/wnX/vSCgeUemDX4OC4l/V8Er5jhtH9275ULfcbvkZ6XhfQ1i2M/XAef/7cf77NYItho8FJC74
XIOt//fHiYTQes1yjPMZdMyiRbCOPY7pMpx5VvTPfeHSmzni+v+1Eb5y1ICG/BUFiO/0H+eo1Bs6
0wJ8rgA/tuOgpO+UzFjLRq//sB7+vdniUtiRrpwl9MH/pDYu+VZwRsCjWWHz/Y0q3//wXCSPHPDv
+//Hs7yqL/6CIFEr/f1ZRgl1eNQYWBYw0a4+ynQY6KEcGJqVKR5dBeKfYCfk8Ux/ijT87U2iAL3O
UuA+/8+p3h5lZgb8i8UYm/6ky3y8JVJWpwzg7B8+mH+vPzSG4PthzYNhiIL/7zcJ17QiilIAO1D1
k5POIfo71XPYTllmyM9qiBVp9r2o7vOJln+YCP+7w8J3A5Ha9UONMQL4JykKlQgy7iOsuWGe07GR
JF5GzI1WA4f/QYd3lpdOHoewza8FmcKvGmQVGAiL1Scv//2uf7MZABS9woaoHa5b7d8fQ9TT0fke
c9RRWolYHAhL20RMJPvD4/7ddeAnAvnftcv4Vyz7kIBJCl42vqlczrdDGpnjnrI/WT//btP536tc
f8X/bOZA8Pmm4ZsDItY6QrGLhFtie9DB1aKXIzy+t5///fj+LcK/Mt/BXPgLWMZUJ/v7FRUAwGiC
qWaLEXT6igzMnHa9SKuHCUP2zxv24BsANgksc4nLLrAdWe5EnbFn2U/ypqIZRHT//Yt++wjgdoDk
BrQ22BH/8YNg5MDGK5lDjcK+lZESN/tYJZ8NkVVHEBn9J8j7d2sWNdAVqgK/Cc4jf79gsS5yXgKA
sX6M2Nlhmt31eh8PV1ulP7Qtv73UFXQESQW7078mQ0sVXElAETPQhR1DNYkLiAZLxxNXnP/7Mf5u
e8CwE7JD4GLAoP+xLkoZrXwZiAVQVYmqKwhffy60Xxe4SudXu1ikJcczi48QW/DTf1/7N7f5l5IT
ewSaNHB2//5Ew1VBMcHjo93gVnm/7iZ+GlwF5SiEM8f/vhS8dX+zMoFboRRA8Yn27J/AZm6RiWFm
cOYrRDbNt5EfCYKSDWa2SILJ1PNMI9zmUNI0nOZkXV8hgfdAsckcLU1Oq5EdE1BpX6KxjL7uu+9f
1Nz3ZQNvApl0e9wb11likrpBmua+n/akGLaOiYrFJ70W+oeZs1wf53ldvpfT5H0zh7mkjd2Yfdpj
iNNaVur8BzF+/JEsnqszsoBy0Rir/QfEyqyqAZJ2LdJ5Jr6jpk/eJjLPJWYEmnxyttrsaQ+Kf7rm
6CqwjXNbQrnaj88sz1C3zilyqRAzbylvIBeO7y3fan0G5ApRFUpOsDB4HOYf2zaX4kGUAKLAJkV3
jqoVyV41Qq77zgs2lyfkcsI9JUNS7ZHWgbBzX/c1ensyVVsHb8uJtrvarThgjjKFLlIJ80cYhIhz
rYUDrKYjkjVS7mZ4mrdBfQJddvg6zdP6CVmchQJZQ2oL2Sfc97p8C8U9omgRnwm17/YAbCiJuqhf
V99GdeqT255LnTfYJPj3qVhodE8qmjyDT2YQvsWq/iWZNQrNFRZLcKSkAuRzG08Vf94QAsMPZAOd
rxHFtL9DBkBZk6bLuuNPDH8LPmwZOiI4sxbwHQFStlF7P4UI6R4hmfCb1iLp/VVdxX7WUzUgOg3a
/aHN/ejto14gB4QDGBy0jgOMs4A1Rix9iJD9wm7g8DY9sKrqcae0Hm+GIpLFURJ8/i0OqPyT2jj9
6iCE/QQCYo0Uczj7x5gH8P0kcaBmB5YUmA0Iz+Ei1+cDumAxccwJJsQR3udxvrvDoCoDc0iW+KkZ
6IyMVZBqd3ladIa0rmno3zcZkgJUA5jjdLNLeH6sVlULCHMmPd7DliAB6UFu9MYkMYhruIvkOCwF
zW+i3APiBkEoHxubSaobssGG5VxsVRx1y2pT5KoCC7qJaE9+wiIJKVeaAi3CA11qd4GshCMUZ4ir
r7mrTXEse8h/GoHUJNKkCayxn1c/jfuJ1cKTy7QXCe/gVqmKU9b3+MeiyO83LmdFBMMIrp5IatQj
MpH10oh4tne8p9mzcyyGv/oq3ZeyxKi/TR2YwCekcYkRhLylLG4S0vcZqEloMRFNDxr/MVgSEoT0
FBYsNkZwm6LavLjEJexUb1FrT1lTIUHkuYiGCH6R8bCoo9hnA7OT1fTf17Lax3Nu+uW76tPp3ReI
agDb3eUAxpA3rI77sCe/KC/53R57hq2opGZrcl/N0NNXQ141k5nrFztE+FzVboCl4RmPZ49vEYLL
chVP/aBhae3REtx4OAZXJyQGo5OcVDr9shzzDdDBtwX+AwicHZtoNfZSVSIrmhmF93QUgKOA11Ah
17MTVd/VoOfnh5GSPr2Am6DG66LYvgMmztbGAa97rhGtQbptlu4yFMR9nLcIrNs9H/vPpcen0k1I
cp0v2+DpT7Tb++ciN6XpNpk5nJR74WHpjzcdd5rUkWwFWevnpdzcdEgHOg6XiAbnYYkZwcconbQZ
DhlxcdJlxRqHBnyMPD6PGYbch2Uee9MoBVl063ZYbx/mZIqQxBnigPTgXg+ks7Ga4maeKAc7PlYr
f6B0hde7Zeu+dfs4ye3Meu7723pSbr5hMdT+Da2Qi9gOi9+2iyKRQDrUYoHo7R6OFedo99o0FY0j
/4WywYtXdLj5j4Q4ipARTWd1DwZDCih9DGoOTxY/xx1ItgMQg++8l3eJySp/Qor5QG7x8GFQX+5g
nkdtbQRfHnfiM3bbh2jrDwZGcepHmW2l/DRQMWFP3HcTDcjBLgk8H05lMdfVt5INlnwbkn1JGWDX
bd7h5gl73Oo9HQtYazauCGv0YvKC1z93lIu6I+M+zdEppr1PoqbYewxAG5+kFiqrSJNR79DZzm6P
WxWP5XiChb6lX2GRHItmyQIJP6Jk20yBYJNSm3M/FPDpvu1JjT2rTVi9xK+LXxP/BlpiD+uwRCXu
Ab6JbPkxrilN36OcW3Eb4VTJWngxDv2vOUOi/HrU5MrgOaE/2vkTmLOpu/ee7rlBX1CDaN1YmUSK
dzMQR/WT1SGdJvihL2p9gdM5U7ejd6bCaI8E5HfPchk+wbWtiDU+n3gdHrgzOke43+DV3QDEHgSb
VRY2eyUp/G4BxOfrBhKpyzR/jkRpx+Gg0jHjOK/M0hMNXwbQT1/w3OKsAx0ptY8E88shaoKFuyXs
akI+5HuL9rJQ27vIIHw68Hgiu249AGnPmn0grj8v5bjQh0XWm/4pWbi6RLoMn/5DbtxeHBOsDRBx
YvjfwvEmBmLDf2JkYoe52zJEcl8oOuihS/tSPmypX5bzjHg9hVF9vulbouAwOzS1hF9P1pZGq/4R
VoAaFoNJFfacNJN2Nax8OM1XzOlyJZb7POy6vqeiqoZml6vtQfzJdhhGNUgrrctXaRleCrhpkRvH
ZvH1qk9+rLk/j3LN07Mihc0vo/IFFOKxqvlRl6DHNbm4FrMqysTUBrmu8YCggXqgP0gVtuFBg+OY
NqGQcKAbzLbnTbyucI2yEcV8Mc32/dFebTi60AsUplpkCuFQqdNIsYBDrTyuXmV5axwcrwxCTBdW
d4gTlJiPjyyJobCekO8xIdnpekqGnnaIHoOZfJGs4hEMcJg0hzXhb3QB87tV21JEpwyMxsd6Koes
SVVUr922pct7HJJlawS0gMjqiAd3wYwOdtLTXHnMrBiSZzo2ltnjLrz9hGm+C+2aR8ncoBfq/c2k
63LvIGlZwfNgJmUHeF7A2qisFgH+WZ/i72Mnhm+ygMVKq+ttmM57EcQdokYl7zKv1e0SJTG976EB
2A9h6+njhn0PDw6U2o/FlVpHm5COJcGBhflfu0xGYBpR4b9tJV9RHFS8Astso8BUWz7DkA8GQIih
aKbY2viLHq3EOG6pZ92gVCSmqftKZ0ck6W31icAAo2icnTTpqkVhZ561gQ+1SVaL4IF43ZdXLRdn
TozJ4L6hdEzzBhM+wX/SyHEwRhCV4E69hRzMPwyOZuMxDMGFqHH15MwnMoklro4B8dkpvN76Yj4Y
WzpxMMlQR9+SbY4/6xn6/RSm92a/xG52pCnBv8a6YpxVhxhJ9VGzQ84jMfch6XI72YKf475g082G
3DbSJHBHW5+S2MUx6u9i190Q91M4lOjo5tt98bs/eW/SBYVttUp86nzJO+TkIUA3kTXA2VL6ABFN
sjmYJRckXJDvRENXq6lIDhubUZc16Kbn4QGbcTI+pK6k4xNbpmR63BX8gQ48U7OCfor4Fxj29eIM
pl51YUZQ3eqe6XDKGUC2uxrv8ZSLUODbyFH1HmAm6scnVe5ZdqDakBvLo/Cz0qA5enOtSyfBpoex
kPO7QDSXbSoTo0QxHgMHEHWdLBuSMZBRq5CJb1g1y7cCGoy4SU3Q5Z0Oi14PKpblr5Ksgz1kpTPy
JhtV9Wvbcku7AZvnnZph8dYN5QjatkSBK9ukUIJ13tTyxWGbeM6tWSBwBHUQ57RkU/+AvIJsbuw6
wukFHsAp7eBukj57zbhqUB6rD0HidLtYmuKk1RMP/Q3O4RlOhnRCFbvMw9V9rNrxI0hBjb+vETB2
P+qridQ8R9vYYEs1qqWRmRB+waT9QrQcn7CXk4Ah9yTf/DgC1MNKoC+9LvCPriUkma0HoxeV2Rbt
88FxBouwbUDM4KFcdlzewjH5DMmBqxqMlqG1G8d6mrrZRmjH4M1Wt9YUAlJo38dPlPGCo6xKkFm3
EKtuB7/F8h3wnP3a90aBdbgler7BmqxO0Qrq0eeSioFi3i05b5Ad0r9tG99MA5JdsF09iDluUOCx
L0tplmNk6kk36QbG+2soiQx3NtcRa4ECL8uN8Kv+tmV1wA+GaBCk14wSd15y7AKSq3o9mmrexE3J
qnAZZ7ytZ9UTepds2BkP+5yG5AZLs58uQDuUbHKDTJE7twZjTyTHCOE4mglRD1HNSoPCYdmyw1Ih
6f6TTd04fUpcXE4NrNgm/uZkVNZtFFTOm5FPBhYlU1b3oDiZ5esQCfA70PlwlrfSrbpqfY36Dvh1
igIXZhJpOG5cOHJD52wcW6lpPH+CqeZOmqFi/acUeys8N8Swfcz5Qj/HY3DvJOTmzezV9LBLHb5i
vMXFhWDr8A3b8CV3qSw2eeoVnT5WdOkBgTI8vAl+P8vXaK0y12QzKN6uNOTN0LLezsNi62+kX4I9
FUO/5c/1zPPiYPY0/95HiS+7mk8FuWAbx5ZaMFSqcxhFcldUSt3REkVVg4OCgOVqdPy8STTsZ9jf
JNkDdfNizw7x59hkql5N98KGdTy7XPPkowyrnj+MCerdO70xf+LScw3CwBbd4E3673kwmz7lkXLT
B4nCNLvL13z9RUHNnLtZQBLc5OTqRTYSZVW7Ko4MvKUA8eWeMgHReQK7xOSxT0k0wmGuID/i2Nev
ArlyywVgBksbx8UU368Ijro4NpK+K6KcbKfNZj1KsaUQJ5lNbjgzFbMP0Sadvy2ndHFnS5L+SAHJ
LHeT48Wl3BJVtINLQ3wr8XQQN35124P1fTJdMHwt+WWYsuw1G4xAcZEtIxj1M8nekzggUG1RAG6b
aAGSeFX9CGAENktHXB1E1AaqbDQVCoGmn1bXG45gGnyjXMd9ejBpop/BG82mFmdmdGtmM/POVRlC
E3KDCzew85h/pjLqUbX1C8vBhxZsRWm75J8L70d5SWcNr6K+nLMbSDx41W7ofbMP3q7kOKcV6U9F
kKlo5jnw5bAhZNE1m8TH1GEHxeaG+s9/T3LKpk6ZLYobMhD2U/F5Hw5rWfob5uDj5huRDBmwY0S2
+juhejU3+boAKsoYK3CgKD6pY7yDUnFCk7fAeZJEgTrVJBMShxC/Q9RDWkSjPyM3BUhaDLt3bCaQ
Zc3XbGVxmwZe3O5cVnETA6tOnriyJhwBeqXFccNo/T3zdbq3hsO28xgDKRhuUj4toQP3FkYkfcr4
z6mHJX4Dw8AoOWFZp8lpQ40izz6HE+wlH8LObvnur4k10GPljVhgloweMKKkJXhH5mwyWp3WPYOA
ErtOAmkFnJOK49Cv1LRg8SfhHuaa23KYapWub0uEOvEQ8HMOqFmhXx/AoVDtprORAn9Do4M1Wg8F
zMxiYCcWlzYNi6rqZUj6qWoYHSRtBrUCaSF0MJAbjVMftSls8B9ZhAz7ZoRce37M6V6dx1jwuQNu
lXzAJi4+geRA8yb1+fSNRrm8IWsKEm4kWTxetEOdCLPGwpUdH0P+zKGZ+oJfe02TGJFPf+LAKD7D
AiR7lVh920mkxogDfHGK96nemWmyzM33S47D6Zdb4vwjDK4TewATnz+sw0YCOpIS2A8gtP0LhD45
EkM3n9LW8TRmd9GMh9XQTbmLVplVsMZMk6eVj3F0pjMi2O4KTAPWDg7P5e0E9cnYqYnV+gg+W/ZM
ZDTX4B2nfG7KMupnNH1/vdvg6ugHUDqtXwJJtH2sciRbHsyaD+6Q55aIbp0T+1Jgk/gZNlSqLUzF
ZHHJhN0+xjNczg8azPf6QHDcJNj9yXbnoU3El491chp9LaKPahrXbyGtnOoWQTNzTHInrnKtPDwu
Rltx2aB0XBqcn9mbTIowdESutD9ne94/hVR5LKc4Qo3soth0aqMwUYJLKFQ61FKoCrLFD75Zw2Iy
vNYBr23tQ/UIRjOwQ3w+S9oIAyJLt4NeeXYbzGqaVIMuf/BTHM9dPkK0gmpsneDeMKr96wbCrW55
L9zYsEoxwIZyoc8wpu9HmHChgD7DgRg4zljY8WnRELUdgdbOr3MxgloGMuIyt9AxYb7J6Ex+oLfx
lypC/9gAS9AnyVJgD/Ui1PptqVNjj8rGmb6dimGOvgZkBv6qZ7b0rRU0v+tnoX8QAMPjge8u/7iu
PbuEtB/EASVDwZrCUeTMEkCIv7IR4NmBrjPMr2djHdwpph7T+AZvf1yfZ5X6cFwgYNq6gJ3ikqOY
FgcoC/PXulceAzsa2bc6m/yzL3H0iB04UWuGOXlVO93yG+m1ePK76+PnEkXBeoxih+HmDq3AfMLE
0z4KqBNEg611eowCmsdDbubpQjAETFsfUEPeF16Gk4MJIPqEkAh5SClf3lNwn+0F9qziQQvbT001
FMt2SiIrzsSrlN3IK4EETU4hFcAuoVA64YyAMrp38scOMH0H5DzLtN2WDOW86x3kVrIMS9/tKfHv
BGGtohlJlX2ISkbRD3oS3xvEUC6HKq39V9Smgrfxgtatq1DjixaWRv6TrvviA5wNuTwNY5V/nEkO
sG4rSx6Q/bDXgIEV4V/XjV1fdRqKQxn56fN17EFbHSaeQy24hqcpl2jh4GEB690Q93RrbBjMB0hc
kVoqXbViIWhZHYnLe/ewlaYeQKUIyyHwtbQPK4lQMQ3EjPcoa3bWWcbSrfNV6ZKmBnT+qgaEmb2N
ZpR4TIhFsi8xGrDPMH4lodUZ0pcf9M7WuxyGMAVWA8TlHFuezrNmRF7GL6EwZjvt+6wfoBgrA6YB
iNV4zFiJDw5gs254yq/F9OCMOg2TtQeUcqDbpZlE8G0K5+6XBYyy6bYYWH+2OFFeVJjSO5Ve48tS
siowhGXdh6eopikkOYh1ajzwTBgPxZFO74c1Kr4BHCz0BX18cR+MKoezCwYyS6i/si+gyY/feuxY
QLGhcbvbE8FUg4LLvomMiQgznMjdl05FWPoI5oDT8G7yrM0lYbYj/RBzKCsk1ieWau0OVYR7AfDq
q7udDFV+SGA2DnIzcpMfk6IAPrHXqzDgKVgSN0Cc8qhJKQmvei5QWZh9B4+gjzLMY2zkepjb5yFp
h0TroQHqgcWDTgsYKGpOmP5WGeJYUD5gkHEp+K5jYKgh5WeA1NsLzugo6cYddNVDScPG7srE4tzx
qNvMAxDKnd9tqkb7A9/hVF9kMtCsK3i6P/Y8yC/cVJDKbAViVDOCKMSH3HI8NnjTsagd9SLCvZeZ
fN8KVGBvQpbLV7GxongWWWYRKrgUa3JHkAh7s/ucbQeHpBisqD5jObDUqfwhxnpIGgzNFL2nOnb3
i7WYo9i5Xj+lA6s4EEiY6SEFPlTNDIHJrS4B13ZSUv+ger6tL/O2MHKAgcQ8NXk2aExuEEdzM/iR
io/1Xqfr9bWW8Ot3Tn3OKiPpZUMnHB0yOPi/Gu83fLGI96m/ZTPAOOQrxcObc4K8Q4yKH80kfAMb
eAr6vluVX1VX+qzXZyN95W8FGaenHR/ofpNp3X8kyLnLXyclK9NSjKD951Lz+QaugyDAhDiTUSvn
1AOf2+Ya2ZLY8xfUS7gV7CgCVvxQjkT1uQdMHJ0nG2XRvWDgINxfocSvJc9KD4uIEmXJpm0aun2K
Z9e5rdj2QxTx7Eu2LjZqkqiebNP7zbCjcZimdSHP5jdAOnV0XsZ9/pZMGGc86EzOP8ol5o+L2DIo
90BtTdsl3SHsHBPvdFux2jxhEA+lVjXQ+rLDOSx9HQuGYVKSwVKrg71FVb97TNHGMxBlv90RVtoX
ITE1+2bzdeWtThaFjb6UeyfQBezo/9CAN1vwZXGb1lhP52FD5PcdC7rQgB0hLLzscOgWr5bSmTUo
YgzFgCcATrVo8Op2pFvG8BSrHWB2OT64wuXTU+0W9Qvp4TlSsUDwwm4qh2g+L5gT6jPSSnFDOPct
Hg1oZMUZ9JNqb9VcsPMe9bnqarhbXUdIfX+LkU+BfoBN9T0sdEoGvlnNYYVQG/Mry9FxdNlkkfpa
hrUMVxWKeoIQxz8aLmbfahge9jhBNVIvSoyogH5jU127gaj0fGV+wf9fVyv7gJEr/MowNO+/x+jY
YdIhqwjT3aWcQ0vKZH5giOqcG5qw8BXjX4wIERxa9A3cSFGpgE+KmvVqQHmryk1lZ6tH/l6SGjuH
5GH4bqXq5QE9N/7YgdgLI1xo80KjV6DnRy5J/yOUcv6ZM4Ni240JQ50+FU853B7Ng4Fpynq0OosO
KCcjejTMTMtTsTl9TlDfBaCPolANpeiYjsDeC33CvVQpoC+5v2QbmNLPBv23OW3eRW+1WHaYDW2m
Tk7w8jb6MsIj3jZjTP0HgqkLPyxpUGBas3538CoJaFmAJi0xAs4S7IPB2mT/lO3eYJhYTx7NKREQ
A3hEi/s2VD5+Xqmvvq6GJrwNf30fE0QgovMgVmMGHlwywp88rT/Fc6AJJhlWfJ+SHnbQKlKQdlIZ
l6eNWM46/JP8ZTCRSV7qCUEjjUutsMd6NpmFmVC1A+FZM4wRRuSwlUeMy3IOmD+GMMKBphWaQvV6
usH4Ca6IyBLz85FolsfdOKhhv+9hu/kYsh1UHGxO8a/JVuJOgOy9nkTMkR43lr48cGwpVyhSGgHO
CpY5rSG2avXsUg5vsgwQll4XcjcWREeXTCeKHxAJNOl7tJ7D2qDfRyOfyXLsMM3z+qYeCcbPKVpT
zKpJuqnDhkMAAPIQAZiDr9zXOctGTH3JtOgDnVKDTmVNtWymTfvPcF2wOPd8Jk6gfQ4B26vM2blm
A7c3OeabeA7J9YMV2g9dOaD0uhRg37I2qxzwMat6OBYBR4ELATzFphzeammp4IlBa9+MitbIU8MB
BSZJFrDoownKn4Mwq34wI8M8EtwSSho0Jvoz6me+N2jURdkkFUqybgIf9XliyLq95a5CFxTZAnkO
sODOjhDhyLkLU+X4XVEYLQ/10BMAKIUfbus6Gve7CCGQd8o6KKLmJcUIL/cUCn47mFWdcUzFH1Uq
459FuiOigl4ZqkBylEQSuEhGfG9R78f2L3+tgx0ye+y3cZo++0mgiN/GIn6wyyDBf/cT5LZ5OifA
V6Pdzg2BbntvKsTJXOAUgslC7gqRN+Bs0peR5SI5LmuPWRbKm/UWo2xHTzbJMbYLyYC/Hix4OBcP
Em8Ecn2+6CbAAXrGhHPfngcMo2wr5LDif+g3zOKzACvEXVacHVEzO3jjxsi6a9BnuUu9j0XVYsw2
mqtnR3jeRpD6uwGKIHIWFAqMC4Mn1JvBfPLGhWVXrcKsfkDJtDpx3PUURY1AM3ENtUj0Rwlc5W0K
e4CFmrtSFDZSiqXrmYUFEVTk3NxEGFC/GJRN+Ud0g1Z/yDNvqp/A3SloAhXD8EYCEPKdcDQBxgMu
Iqrewalv4zpbDZ2thWYNepb+0ksO5zi7jzm7ZIm3ewceJ/ZqTM37/VcZBfzhhiboBUwNgXo9syFr
QP6J0RqZuj4yQosK+6nc07MQenzhg2FfhhVzZHi1qAGEhaTeApSdE/+JmUaCAUPALI5hO/fEHveg
l7QDVgAiBOpx0BYxqyrh61kv9e20zwjGqxACAoaULMAp2pTW39ApoBQIpBLfFeZmW+MZUKhDIpMt
3O7jmB125LtvELqkpitAetcX9BqrPYgByoIOWYTlTZpf2QcbxV7egn6x44QrqMekXBdT3AqVh/lR
7TCHADaGnLlGaWxtRoBzcN5Whf2azOX0AWwekz/FKd7Tl1IHEc4r9nLS2Hij5QsnOq2gNOMYYXu4
tdAHzD2w12GyDBAutXlaQ+oLo7VmAMyF1VqKCTCLTByQN5G9YXKEo18ufJjfSodt/13kTKAFvZ75
ON+zvV3rxb6C6t+Ph6slFu3wmPW7cWu13rMpTvkFKAum/vKvWwkxETleMGqdp4FlIBt4Hfj7rndq
mlF6aO5qPXB47jLGM4iwg754j5LnSrUeSZuaHtYuFsYrn3JAGfiyQA6RrUfsx3RMZI6jqsL/+dW4
onBA1Un8WirPfsQ75UMD0kn8TdmqpLf9bJAzh+FduRyTXetXN+/yJ9FiDge4OnF3p1e51sg1IwY+
oRmFLW9Y4Qx8kyR2+CUjS2gL72gYOULMGD+jBwL/fAHePeDZo8naUgImFi+SBee3xZbeTgg6cQdY
wg3fV1CjXhcw6R1ugCdlR3IDGHLO8yjt5noa3BddWfWCqPoaJKVgB3FEPnUKXgFlZScV7OnhImIM
TIniZAZ/IJh6QXheHii7s6JKfcNHeG112WAB3htAk3cBRAAwi3Zf/DLVBpvf/+PoTJYj1bEw/ERE
MA9byMmZttNj2a4NUS7XBcQgEEgMT99f9rZvdNnOBOmcfyR6fXinx00RTqLi9bUNe8dJuXs8mOua
OMX7redI3EXbFFJSCjycPwxqBOIfh8WK9j2JlvNvbTrbz4xQ2n6AfneGvd8R3bZ3rby5xmPnLiBV
DbdYPurNPIezFYY7pdZ5OIvFYmRQtfIfwtzT656oq6ncbYtI7D3HW2+nZRzQRTNA1+xl3KttN5VI
3G747HrfxaMTHsxqHB8r1NCv+84SYQjPtza/LIM8EIhA85nXMwrA57yKEg5s3YeXnDnhNfd8BF9e
gmzVgNNgOMmHcD4kiYqujCHyC8LLU4/xWIvTZLvLfJID/zThGE396PjSkGE29P3V6urov3BrmBIg
XOPuAA/vXxWj7xdkgQxS/DEIbAgCJyh06JcoToMSAcRd7oMwWQWR1v9qr9zWVKAOgR2d+6XeMWUi
fRk3KJC+Hf1qPwydsUmMJc0rsAsRQ3jYrEwpuhtmULtH+r2n6Jb7miadiUm0gazZd0FboACDzn8Z
MBsF2TR740++coxdxIQ8Y5c7jWN2/W2TZJUVmsE6L6qrHpdWvVU1er97iwa+t5uodEtjf91OIajy
+MU6O35D1bbe49TkS7tDNZMHe4vJ9X6T8KiZM1vbfTUui5+ih0iCtATf1/cEQ6nXMgjoEuNJ5gha
p4Djj0re/lFuIVWl6C/WJjXz2v4OWx3UZ+6z4HvOdfW4EqDzloxDSNr4GqB2Ry5Rv5Pvb/LMt0Fc
UTLZ8RMYvz89lCEXT9qrMiGrT4fmZ6t8IHkSeort1Lhl/bDaokIlBZcPsKFG5BDx0MRnhnSv3JUO
DMhuDYv2bTYUYh9QRCv7KkrDycMuqX66dRHXVuUWj2THaZ9NeVMfnIlGFghEkNiPtWunMTUWXc7o
4fP1Uc7brP4Gcluu2vVMfGS4z539lE8mQcNoJb+3vg5YCMn7B1VCVeT8jTy0gvvaePJ468rAn9Z6
JaPfnCRlxlE0jxfhFcsEe0DMXWbCyrv2VqD/cO3OK50xnlz27uTIj0JsNfqjkXzPU5fYS3Huaz3C
eA5t8uj0OvSzNY+hlgkCa9xTkUzdO7t3CyW9VMWVQ2CIdiUa3+9+jcSXZwrA+Bs49uG3Q/kmculF
WQFmxN9Mdg8PY13HhzymZ2IfbXbx3tilJC1yQnKEeqjJC0RykgO1WMbhBeojSfOZ4mCUpKMH+DSi
amV8iMvPRlfNuK/jpH/Lq5xDAcVA8IQ4FiGXw9/33I5BEnBUFKJNtRr88UG3VvEFwErprl1VkmDR
pOeYDYt6PHv+tqzZIitSHQnMW/6B6mHcJLJ/azItILj3RKIRHusMYaJuu0hkv9S6kS5ytcUpCU63
2sctqb1Pjb/CPZvYmc8sbS53GreKObr+5m3PNeDXHxGvi5X1OmKrYM0swkOlTfRrIzFaPC7V5hZs
sE33FaxWpPdLyEfCGVttbCXVKO19tEYTwE/ZCH0SOpFYaAuvuAOLFt2hc0JxCT2Ux3DiDVdqs66g
/NvWuH+sxU+sY9E0BX9OMrgPApDZ4imdVb/bytjj56yu+7mOXhMe0fXPJ5cl4Lbuq+Epni233I9B
wJMZI8L6IiUOWHQuvA7peFO+VCoqimzQOvjbhhGKo5Zqvnen7ZzXqraMhUouJNxnTqiWzYaI0eNg
tVPwFZmp+VtVjvlFRgbu81Dy8TKnWRsIlkhMqoNo+88gNdFHNxwstrZOe/cNmsHPChXfcJihcSLU
HTfaGVJO42WkO7tH4M3UVnV+v2aIswrG4q5vLlMezV2mRle8+7nnrNlMmox13Nob5U/3j3lu0UbB
neRR8wsFjy9RIzh8UG4VBlDG7BFPVTAVVLlWyfzH2ILThgSn+D63UVge5nWO5xSstvjKa22jorUC
h7Qpr2nX1BIw7wyPxEr1RdWLPRhp+9kiZESaNTkNfUO+JHFmvOXqnABIR055Z3RBDUXxnPNYIy6v
LICKUXUxkhY/7Mi41p57KrVjd6fBCZZrCKUhsgmxT5SSnbKIlKAZpW5xIpFJi2CFdLF9gNenqM6t
F+RSiDKKcRLvxsDRdalhaz2TlFB36KvmCtEzhm5WJkZFiCOr949EWfvrblJRMvAPFsjp0D/ILZWI
iKe0VHl/APxXEIbJWvrsEqYwvxMyqP4KP4/+oQeKLp4KAJKdmbkenU4VJrs40eW0L7zFdY8Rn8Fb
lFSuv0cEp+80aTnTI01b9d95sEr7ETFGYM6jXBp9LZ0+fobvlF3WG+U+iZkMsrORTvu7Q/SN5Mq3
6Y5rrVk/UmAYzmmtveoekck0UADfWr9gCEt0xwjVM7cPuSncuW2eZW9F3zPJuclfxIbedBCozn34
zFk8IJgHfOy1n/xIEwMreSjL9gpLKdUfbi2rLDaTb53q1YgN/eq6dedgypfl2I5O2+4U6kL/HjIk
f9Ix/P9hUV0PDO8VuX1YRgG5bw1DTW2BVwEHsbW+2uhfmwOLRXhQa2kvh1sXCQ6RrY8NijUNsVhD
unX7JUYK8mIGvXwVozRXHcZFf9C5HiAIQjXkOAlt2PQ68H2QAGN5igBBN7gUM9K/1B4TSdh/w+nz
a+78Wn0T6849t7aDsHYbsrb6wYvXbngJ2mpeUrtnWEC4b2on1fWid+HAknsrwKmcNJxgtEn/Rndx
wF4bwcT0QfNYxLd2T0Rx9oG2FBcfhJ7WS9EZjnoSIZCGKdkWPxXG6JChG3jmwnPh7bu54yyEgO1d
dMcDVzjh781K6nYwfM9ujOcol7PysxDDOqBPbHTJrTHUw7szucA6LKqwi/PNa4CUfJjaI5V1sj7l
NF6/FHTv1vfKr3THTC3mCxqX/tdKiPplbQrPAbCqONbsAUsklNQ6L87O9+bY2Vt9EvkPsZ7t7jg5
eu5OvazsdddNTMIgTQDBqUMrEhc27rnTECDjxmDs1QizpFN/sxT5mIuUM497p0L7ghS/pGcVpWV5
CRoLTqiMSsGTEHvLQ9uR47ZHiNbt7SqUknU37vlVmkV9+eOK3qc3rbxL3B5WmScCPnzm2xifx75A
iKkav39Iem6LtLDWMkwRjqr8GhunQjCUr37yVCbU3OxrTS/BQ2TYhTLKOxLvbmqKtmPcCBuzK5eQ
bbRGvHQP3SzlkQ1WPwfaR59W+BiuUyePXXXHsTVOrGpS/osjgC1E99PEQb4lcZcFqJnyQ0ChEbqT
xpbOnQadoPUh5iQxNIG9qaqpf6IInmxPWRovbzSM+tMCZvc4DVn4UlSYxXqQSM1opOsFWVa1Y5p3
tyrn8tDWnu2Qs8jlurfKPoCYHszMTdMVtMOHoo9/bSgnGMiTsAT9EAvS/hndAPuERJhbIc8FMss1
/H8Z2/VuNXkbZHOwmispD/2yx51eqWzb9ApBYKaueeggj/q0Slwhd/VGLWy68bkvvNf1uuwgX9Fi
TFZoHQ2nmjmMFOWUh3LzbxqDZc4f/cX0oNNWX+bpYM/mg4hr9TxLNbE2UnRaZT3S+wDKEqNMGrR1
tWRerdvtbuZpBsxt1/wz4Ec+eV40vbYjXVH7jg8CxjAyCI1VE6n+7IGUPIBkaTJF/VvCgsvVcVXz
VotDXPYRMf5rtWDBQf2osmKxbbG7+fihTTk1vyNMA94+7Ke5JsjZFazjeqEvJ5aUzqaVLxHPJj6H
AiLDIWfFNoiiBjQ4mriZVrxaporUnc4D+75zdQy05uBkHNE9gh0E0gsvdoQJC2/DLF7obB9h2KJu
vCy1iXipQam+69yW4QEAmv+W11yqGeDE9Doxd+SpNyXVFUAhiPfVEnj1NQp6/Tp3nr18CK8s3LuJ
6snkuzPhcteMnrIg6/PS/llhytRjp4jE2qF+94m8d+pmOubuUh9dxPrin0M/Vfif3duLTBEGEJAq
3NGhMTwe7CcqEQDq+m0MXjflte2vkDVZAcdW6vaob7dHpl9boHdLxUd+S2894YTQ58Zri/AUeo2L
yDba2r0DIrbscem2DdwT+Yx3BTanhb9HwbbngHafRdFxtlgo6//rCt/+IXMQ8RH5vOE1x8ME1L4W
OBgFUFNy1DOwdqbJoJmgaRuNjNwW/gfomaP2PXHqCzSsCX6SqcdOgmwS9bSDIPpr6nv7d65UEj6o
xmz6Y+ai++Qa2ZKdHxJbl6HmKHpInTb8xhkDTKvmQFWPho212AtnaNaMym8r5mup55PfQxehiCrr
cNcNA7hHN/b2qyrhOI/8MighWVj6jwZJ8LgDzXXHvUsbk9izCDT/RuyK4j8rzLufukPBcRRj5E07
SWHwS1DBtgm1sf97wCbBBNVcrr9sHmsKgysqnLMk2barQOa7nnm7h/5XtUSIuNLZSPMbmGSYjj4E
+cKC6k9UEWLsmd4bXbjiZeoDMvV1EKKt97ek/ZO3vnPvqRmIqI4YXHdtTDJ8Xsygyc5qO+sFCWKz
ZWJr9MsUdRg9uDvnc+ebjnB+q0UiCWPIu6oSnxPZ0w1nj9JT+FSGzYKU3Srih9GTU3x7YCaYHjvc
RJ0VnkrKz1ashUgZIWljgL1xyBeq+DbIgiouFZJCdTeZaEDLPoYsBHncMYdSlqUYk/t2nXeWj0Ml
jbWjViYWj9mCX8J9WmCXpqOp7OWNl0uZkxCTsI8FF98Jpgwh1TRM7gMxp876baAP8j0fMkJRn3Rq
tE5a9/dJTbDJzonYh+4WrIY+ih9qbdNFLi5qMeFs25/Jp4Tw6lJxlR8NLJ1/3y9tfGiEcZ2DS1Tq
z4xb/QGoCTH2AgK0D8SN6eHjtSGNo/n/R7EwJViz1P9Ndry91wopa+ooXb365F3NO7sZ1dVa/VUe
u7AB/uusuSWNNyjA6LyNF50Wb/QCO7ro5ZLVjh903100DmCQzpD/B8hSYy5xB1MfhhHHSFZXPGRM
OHXxWTY2JBoz65xkbbeBt4gI3DkrJIKV87yCE+l2BKVdHGFDM/Tg8uyFom1OAi7Le1LWvF0xWeAu
m6dwvTTs6FzJ9lRya492OaUbLmumNb/FTFmBJoaPi8HkgduOAyEeXPsFYcTS7Bxu5+jB9Kob7lYa
LLGW+TySe/ar5cpMKupUVODGLNa4EcF+yTlGw5V4eof+1vZ3JLdF7q6eCvMWC0bms1OXLErebOWX
nvvyzvZC/dGPOZycR+sIPn7RIkCbYk6KQ2659sesGNHSVgz6NcCV94QTHvykM3nzZU0mf7OBkMHh
1qmW2TCo4gdsj22qnoghebeZCf7aHugq0B2TPJRrsz4N22p46GvMMcfY7uxwV3M3PQO7BMDbGvvu
MY7z4H31RGe9J8LLGYfbKP6Qst8+JXMjKoutYuoywUJoh90RsGwZG2mhctrxseFBbfZRgQWSvWwO
q/uiGFc4I34nQAkKS8+gJIF98HVs6/cmaKPizm6m4vb9tCWWkXLxGGCZ7CBFAo8S5yGqXgEj8+pE
qkT5hT3GXsDhOgV/GGBZOnBGdN21a+3gke6cCv0oUYVvbd1Zn3w13Zohk2vf5Y3TzaRXRP8MNcn/
SWUz3muv94LdtMWq+dHdJILbCerOEtK4t9+VSwnfGW3z1r3CvwcFJ88Ug90I4ql+FG8mTF0eDoy/
onQY1GrbzYgjMwiyVovGeBPX9SWPjLe8IL31zlqR1khwHMqCU9f11nByR4B4ptdY+wdQhArF+Ixi
CCpVJDDSyv+ebK/hniEti0i3cp6eCEDC5Smwpb+NlW3/9cZiPY+FUwNqNnDnSAS35Qnrb/+MXK2Q
wBrkyzz7pT+8V9K1fum2UV6mmTuuzmhb+akfLesBjWc+vbsdvrsdQaXmRO89ILbVGvHClOgNfH2F
cVMM3vYlHmSELDfhCUpd0CciA4LFPkWtjuTRq4p1OPrrYJZ9ITTy0LifAvGU0FNafXkyUckVYGAx
D0oxXO76JTwmFmkek3Z/+5twX6F17JGZe1yDY5nbbnUaMTbIG9nl/kepRg6G2ovpGXisLk+IGqtr
vW6mfAJ8iMu02sL5H/n+HE8lbvXFSonpq/TBr5xIgtN11ZaNecQN3XW4w7Ler/zouC4ATaegDaJ+
36yef2wnytIPZUGfxpdLdGRJSJZQcM4C7Rj4FlDATq8xLm8UDqyIu3WWZX3X9Hr4x9FdvG3eZJm9
0wioqt4b8ckI2pn/s5jCL8jm1/kiI7bezK9mQt60s3n72e2Deje0sYgPGxGQuCkWEPum5nOlMYUb
OAjW1kDztg5GVyd3vDuc6tUHGpK4xmQZwxUyAOXDm7Va3TeeDeifHmCUYIBV9x5GEYXPs5JSXppi
cEhpmig0PM4jXu1fpHXPE1QYGDbcvaxChvjAZ1BuVuRBrU97CoK76W8Ber6wsnc1+nJMy8DjroU4
EY8BktzBcflV1BJXB4oJ+gDltUkKsDIbnxbjqP6EWGx+e1wCDg8YCzUiZFEcgoFY3JtCIHqDhigf
F0w5Zdo1gy+PcdAjvjXh5kF9x71/7zCZ/+d20eocthh+IR0Iivk7st6Xd5Bz9T+3ClAlFsaYbw6R
fkFjzxh6wCYn/1ROFcX4XDh0UjxurkrXDUPsrmEvxMkTdDnEsp9Ev7HJtuSCVG3swCS18juK8Ewr
8NYoEwx8l7yYYirRlK/+MgqgIZOzHySkXHSyu/NQSrx0lNTzUjbLEoBT1vI/o+34y9dYHghGgtR1
i4X3PrF8bsZ+HPv4qFYbSWsRdss3tLYYTojnwkf859V63SakJyeWeQhGQuc3jYtysn/wnQGO4VMo
zq2NlwQhpNM02VJ6i7PHwIopM5rC+OKAvjWHZkuwGpJAgMbPd2L3X7850YdWvX6EpwUi7+LOvE+8
xy1vedheMMMgdus0LinRenAW9lpX13n0fPuwjoXPUVIolPYl4u6zFXDj7GgLU1cSwvvvuHL8/9Z+
qC/bih8AusyXMHqYHv+j2M1789hLYUupPbIOVTRRvlUbUEbX67Z2ZzT53+gVC8Q3/ILstkgmtife
avUXxSPx/2MHE3WqnT48MQAQpNBJCzeSNXboEEmLFLty8NzgK2GN0jtRBJ2b+V1Sridv2lxzNzd1
d+4Cuyqzwuoi/wT3LdusIGqQ+Ahpb+NnQBuGc4ecHN6ddIMW8RKCuREpCA9+Okfdcs+WVyVnhxVp
fDBIkJ/l4rchSQRtxX0eM9vuY5tIvlQIsz548w2CccScRLt59H3+ESvq6t/Vho/lCDDOYx7XjqVe
yCTyZebnIrmUlnUD3PJQXAP6FP/ZiEhs/u9VdLHLuPjNJpBsaTTnTXhHVFvXXPoGNPvFqQaruus2
VW27HEU/Ateuc4CIsLlEQvT1k6pn4aTANPJ3myTQTn7XwSLODg2E+6lwTLmrcZs/YgLFrsha6WPW
DuflHo8l3HvE4OGmvdtqJKk6IphyrFt/2bnOUgdcmpSVZv2ozb2bj9WPG0++/IrKxfmzwAt1Yme3
Q97t8R6VjzHwVnOc5Zqg6qMAIckmDuorYgzP/cv71OaXtpTuI+dkyeEsg3m6lxwIGBob/j7nvgFa
8841QVTiLoATvM7lZP5EqJF+bHbJl4lsRX+/bGL8jMeqMPvSn7r5pUPwvSux3eLaH2hd7GIdJWfK
MouTLdsZ1rNQ5b5yyQreRSiqi4OX+3F7B+baDbRuJ5y+/P5qYdya63edjPZ0bepKXCKenRXeagBr
yA21F0cNCExgVFM3mYOiHk8egfC/nPkmfESJnrx3MT7eNJyj4XdhSv/GQQtKx2RIDV6WwCJXqR/U
xR/ZQcmgngD7pE8DumLHpbK8ShHyflUCO2Zqca6pu1zk5jNgXn0qnEYyPfju/BM4an5bBOUbDJna
OyRYtH4LVY3tDvGYdbK7sf4Tq4mFvPa6KYXNcslQR7rs7UpIbHPI/aqUO8qb7U8UT/KPFYjxwhMx
cCOWInpp+8rOLy7FBxdiTRbvrohJ4z6gnMUSSUyQfiENud92GPcwpPTkieQXtickN1EL4Z+uEA9j
qtxQe+xBMviClEvKk8NjzxVYR+0vYKTR3BfI85pDSNGoIe7R7v5jcA88igoS1+aWckmdx+0Q+yfF
BoSNbhwklhB3KdxMiJtaTVbCae9JnzPzoU4mDwa3a+RzCwsJNOSIGFn/kgfbQycYoZlndOjddYOb
SKYWt84PawBQsZ8jxz2Q2RWzF8NBII7L2yGrsfvS2llPKy7P1bXu5pkBZT9P0FOpDT6CooDCCoIm
zCzZtkhKUpfJ3AThrsttQ5L0GCGnyrGBoc8UV0pl4bI8sSiiaGZDU1pLQ+eBXO6Nu7Yh9yUlck79
nuexecvHbm3Pzdqt17HO9SNzMGSl57srssnRH+5zdKNYrK18ZAj3LH11cfq7+KoCcxk7mWy/cP9v
j5E99SWrv4tymmFWAbhtMUZyXomXJSII6WCFG1nAfCpxRMQLp9BZxNz2x2Bqm/lgQTVy2SKkE3ty
DNornb+8tFx9/gu7st+d8p5UEzK4hu5TNXl02RyO+5TBtv01eKJ9MMQuy13R5NOBLSzGyAbIc8eg
i4KplpIkfdrL4kPAGB6y4MoQ2jqKhu2nlz6qiX4Lht1U5fkjgSZTcQ9UGJQiU62d8GcN5pdVF8G5
x+TNpwqFdlya1Tf7ERGhTiVwKcB8FbntjztTMHDRAsObSa3KX+RHQ8TK33bwUI9Zk7O4eNqJvJ+N
HyxpJz0ZHRjpGH4EIQJ1SjbhAF1Wr+gSIeidYt+a3L5IJ7xZhTD6CQT1locM4aZ6zOoF2TkeONcH
pZ1IGkxVv6zBLrrBMAAzfo5/Dp/6lg4okaZHa0Urcu3rKPzup95Do8+AoPabvyT2BzdcH58Xivc2
qHMO37RcpMIetoQWeohAbOewho/pUms2k3XoBybC3WQPnOAdms7MxttfZAnyRezD3I3ZUsXmEbw8
4cUamOsOqsanekswX7wLcirKxQEHBiSHlVA/eain4h3laDkeAp6jPJvkQLpQDLuFub/WCuctBsLy
Sedu/4KMyOCHZReMM7I6kr/+rOP6LpKl+WmXtXzQsQkJ9enb4Gp5QeD+qclBQh1dolRJe9gNvbsN
7SwFZY3xUJk1nEkMmG8usrUIn0ObKgAudasHCHX1OD63Ne55fliHbSwOl2rcx9Xgv+Q3KywTt+23
e3ZYH3fyiDQDB1Mp7WfEFUjjjF3Ix5vv6G5pkXoArbQgHK0qsTcNSTWMrN5dVB0Zm/A1eOH6Gvbk
o/5eCxxgxiRx+7RKv+zuyrxU3b/ZAvVPsVBA7kt46vGEPjd6QM8+wYwNLt6GBFgNGChPePNbpIPP
sP8MNsrV5P6EBPJ8qAj3SOqtwfoGFu4/K62W7woW9CvMt9579GqxEWbDBgw403ctU0DU/OcUxfrP
hsPJ02nT42vNL3RDRWB/d3WJO5FdrLI/RxnlrpdS0RLzagr+WgNl1rcJROkkA0T7zEnQt8QdZ4LI
DBgJkIy9U1AeVCLanQ44h+xzsYVOJY+cGao8c5TcGuEQMYd7Fx0ht6btbd9oisy2o4A5js91DQSZ
+b5aLkPL/bWv3boYCKdypfcaNkOpznGX6z8S5gMvFIEqv26O1ooohWp55ERk3ooqLueDKltgZzWy
rZO2gc5ij9qqbH+XVs+Zq22hkjsxzs5zuRK7eHJ4b4q0WGvzaOlk1VlC9AJLRjAy+Y+D0iZjr8c6
CicwY910CB9G6y+7f05J5GDaJnUw7b2OriqivAt8YfwlOfCXGxb3E6KvrwhCA1KgKkke96eoTHYF
WSlVJmqxPEkaAz6sdt3Gt8njCeEp5Y1HFdq3+p0FXuiPKESajgV2m94tYno+gHpu3v2hlE95UfPX
QJPqe5I5Bkp0qCrr06SbgldyCckgmCuxcSuw3KOHxHgQZ4mw42viTAoD+ILa18AbVHK89yMvRqnh
FNOTl0ehOjhkVHxQRhn+4eP2gpOfbzYL+4hv9WCreglPSGzF2aF9VGbeGDiAZoADBENNqH2zjZp5
CHDW3vghaRbWYSNj/tk1DNf4Msh1vpdFMYznucojGLSYmJgMECkGGgF5wALL/wJEBEcvD/gAcAkZ
uqeqDAuIxsVV29u8Y4IluqNcXd621RS5v6vHEoGuVgUSAKBURtae2GS0AuSlOfsFP9ARtcUQ7i2s
fAwFoHz2DoOl26Zb52Mm96RrPw9jjhObI1Lu8b6WVqY1GoWsGrfNxUcUC3Wa55DzRTSyEH9bdquJ
zB0qZ1Ozzv1XuW6JPKHt88PUnobirQpN8W4wwcNdBskU7IuqU3+Aqvi84rIev8bGtmGHMJVEKT4i
dQ8tDyswqZUgLtdbyviIt3D4W2tiqgnziNc81VWH7yPHKboetDTz80bHbJ7aHYpdMk/a+pVUmc05
Es+OIS0P+RrOTW7cueFcs2/xxqTPNeiSrOAc4w7uz1UTEUHQMc2PR7Z28bqOHO9ZgYZt4h8ASt5H
WPnnQ9MRupLGFWFwO69M8lfd2sK5OrIN71AD6CojZ6c4kMBcN6e1K6fqguiOC21EyWqfE0JtZQpz
NuHPSMgPRJQUHmEjlbp3CFhzslgZ+TbOfvLmYKL2D4oX52Z6l9ZR99VQHHk8b6e8thSntO7rA6yu
Rj20uNHHGLbIDMfFQsBkfN7JRLv+cR40eo2mctv4aOSow92MpfRwo2vxuWA/vSGUPlAoBke7PyzT
HL9YSiL6qPxuanYJWv2vleSuaNegFX5BiQ7blOM4RopOdaNKde8GLYEoJRrmRSk8PRZMSYLIFFsW
41fForYEKAixFy3kst3EhOXgDCKdiGP7Mdyp74vcyBpAgOQO15mf9ehs+Cf2hGdYBT+3GU8rlinr
AkTrhdmCC31GmlsHdzkGVb1ruhLAlJNjTlLca/8/g4e4emqFC/A5wE6lDlxjfplX3dkH3bhkIpCP
4/n/xsiPH+NhUjN0POk5aObE2Dsp7uXIzqo80c98eaaBzOjkd0IP8GePoCc6R14u7JOT2GvC2Oy6
3b236C3kbQvc39i7ol/c8LWz1yg+2XYrJ/l2lOW8Eg7A9jvKGZyjRdmrMC7+JMO4uVlLnIw+b3nh
FEdA7ORfH/Z9eed4dkHwOSC8lc2e7rf9QAHRck/ohFftGKiYg1tp1Memcr9MlRVLDMxW6SBgiQNm
9hoNhrlzwnbi9Umadjl4EhPBri9A9/dhQKoHeXsU78L+51b0SlID5ouwQH172IAWAfWCxb9zgIB7
iBif4LWALMWzpvE7yMgbI+dgWcaFUj/bjzlCECw+i2ERPny0BucukQlfvBhjO3mwvKI7AWNEcJ9r
LX9IWMnfvdDqqhNuMvcbsohgTsazmRhO7br7FezNycJ4HCU8V4B5uDY1eXMlPhnucttQOBWYWwY1
wmEGvgi9d5cSAdz952PvkucoYDbLRMvVv6ftK7ql+JX4NHmvEpZ+8kf0O8MW35KksHHb+WvkiC97
CMcF0VpPIEpRbu2Tl1AJeVyYgnnCwQXaFzI6JVjl5oMl1BwLn1aD5vyEPHYkT7KNABRpH+nQYXdu
mOM1jmy+9Nnho742CmrijsGE5nS2qaU+I9qxb43RpiZ6NGjKGF9vTHACpmzov60duMk5LLbtEjW6
wyvSbk38iHV26h4BoMOvaICSe7NIgYn3K7gdP9BC1kWwxdZjjfIasR1DHKpgZboqhu8E2eO5xby1
3iNzs7ejN+MbPppYKXOFT82vWob1t91NY/WCCBzdIs/gCkSJ05gtYvCoMbG1CaLfHpC/OOOYq8Ru
bAsmipovUGLwdJGCDaOcrHPp5vaveqW+81TrRbzZciLiwEg5YyOoC3xCcVw1Fz4Y85SMUlZ7rh/Z
fouRmWc/WtU2HHVQrQ/oyYkeXx0VfpY18sKF95vXtlBjiQQ2KpZrd1NXgkDFLzbxVNh93f9xdiZN
juNMmv4rn/W5aAMSJEG29cxBu2LLyMqM3C60yiW47zt/fT/MuaQomWRRZXWrsoBAAA6H+7vIaFdS
7e9pudBA+DvzbcAX8Aji9iF25aB2Qkuz/SR4AcHRFSWSFKzGva4XXblGD821t11kds6uQ0sVvL6F
Wj+0i6jNjr10qq+ofxa0KCT9q0M2oAy57WseNocIUYjtGLlN/s61muyLFU7xZwfJQN5Aujd+HKco
yh+MATjdlrTGMba+AX554w+T720aZwSFGSDIxNnwwWpRWdbpFPEQpL8/OAYwwhSz6gD5oOl+QECo
3eeuH5trvl/cwe31BzZrXmV/J1rUay/Ai3HfdSO82h4UnpjeFvRx4NIzEzyS9L7PkgNvuLh6rLWy
fhaDLLpt1/RdCEohCqytjvzllxhkVrhTtdu0e5orAea2Lg+uoTBAedAkSbkIJy3qtq1bFg9S5oWJ
joyakn3tDQan2ALFy7tDS9t/GncAfVVYaABCQXed/QScMVjxnjB4T056KhF/jJv888CdBNxD15p0
BUEoo3tGTX6AZWVGKbIXqi1WQFrl8Ew+aBRrNCEp5Dpxbt0ZEQDvY1flfXgsWAvKBEBfiweQoH2/
nUAxPcZO51vv+iZ248d+CAea0XE97IGPhj97TVMC066IRdONyThSPUPsybCz+YDXmvWaBV05PNH7
VdWuTtLavRs0mIA0D3pI4LTWGn+rI/eJEFZtik9abrVUQia74fpXI8UedHMiaKN26MBWsNKZo6Zh
TeQ0mUAvcKIbSeXN8PV3deH6PTpltrK2BTrfhISGrGunF9SMUCxCmG+SWv8TtIb1GucV/GsnjaAd
yzwfH+G9BT/JQop0pr03G7cfwP/NsXzD02egKxsM/t95FVHfBbxBRVBUQkY02bLqF3pl4XceWTSQ
PPK9vaIGEDzAFqsx3wZ91uLK0STth7DPedc1gfTex6We/+wb+McoOUAs3MZ6jfVrkE4UNXRHRxNe
Ue100XIwkNlyCBpcRNAbPgVpmTt3np+3n6Zsmj4gooH+Atn4L8hSOcFH4W+MCEPtHmQNeguxnmn8
KOLSmsEMI4hAm931vpZBdMBSy3/m2UQDym4gzt8lVs07aVYdy9fIgyGjYFa6Fq2cptPVsWji6mdb
9lAkjQpaPXq0Jdwlh+rDeBCwEYpPRYII7W42CPvHioemvcs4u3vYyl5zPzRZ/EpFsRaAy/A9s4Bp
NMiPwkF5dTvYUlTyQPpyfn0S785JZblFlC53V5X00r0buT42USmFkLshihKdpt9kULe1YCqAmini
J7TK/OQJkRpCcd7FZLm2pOS7KROejPMjtvPuHEFjcSuMSeVbUblo1loZPLqViZws+EzY7c1Tzkn7
ZlZu87NUufeA8I8A1dw34EHqotRnHXleNuT2djxtJyfQ36MDDfSpcpPiPegIWtw1y3yokQKjgc8b
8ZsA/x5vgPEi7IxyLPLrk1fo8VaLpf3KYlX6OkODOzia4WBQrSmQQVx7VhJb91x1rb9Hj8gM9rAo
WQL+z+7gRFnCzWRJVT94QKJr2vKjxxasM+dzQI5SHXyBjLWeZdovS3jxdJiyNjR2Q9RO+cymSd+D
eKUWa/Za849AIUgC02im1zRFZu8R+ZZK7oJOND8Qsg9+8Z4ZnkKgje/NPof2lyV68Sl2dPlC0HOf
wjZtvrjwJNutr7kOFPnUhK3VG599EslP1jT1/cpHB6HhmTZFuJujg32MQTWBiAuFyXUuxqbexLwz
YLU7Dqj/pmiRZfZMz3qXALPXCKFR+4P3Mt3LpA/1f0Iwmt+6Vqqvoujwi9AjxI54bPvWh8RoAUbl
ePhyTcV2f48+li3XCYWJXHylJZZ6xzz3nX6bUvYy1xHk5WpHlUv7MHnh9M0QVVVtMKi2vlImZ5tj
SsRLCeHZ6nlExwAJAwRbaH0DR3pn+hTCVyQxBqlSpodPWgkec+U2ft5vXc1OqJzRC9rUVei0NNTp
QABXNfpf5hglz5j7eqCcucJQqvLMGuCch+Py2lL9ED2gxSlemo68QOsSDyPZbqB0KRz6bL2lMm3t
udK1n5zJ1VHdrC3x1Ybn8B70ThCsY+CoGJBmuMijheW1Bzoi0PizUnM+46Sq9I1GDrijmIkWUZt0
iI1g8jQEu4wbD9wAWLw17Kgq2sIJo45ppUix/Q3cXsCVQ00E9lnR0rke5lZERpMXqkUCv6ifDL3Z
B8AKZkWAOuHNFdIDXtUWvUGUwwCP3SFfaOwlBq7lu1pFCD4Az9GMfaIP+Ct5FCAl6PDCTj+1NtJZ
YJoZ+31l17N0bsovGsuq+emHCOjQuOv14o5cKn+I+kZHYGPoi1+jrYkHgxoNpXwa5I8yNop254wu
yOqYAysfKBNO0caShUvUldzYT/oIZGI7paGW7oqkdT7zNsCWTVTILa5oLHGXhuOEhF8ZVQ1iMWSA
/S51JtJuTzp5NfeW/XBj9TAaNmZkzG1ezfJeRntMXpuMLP3V0sn3diiR6u19WiJws0LkD438rqSL
uDKjKbe3GbaRPT0GSierIDStlz4ocvoNjkFtPypDKOT0g4qfoz2lA+qMcd1vQsiu3Qo1stLCh96w
f6Vg/O6rsRavM7DIX+kdbwKiD9WHVYu64Mw5ArKPJOzoftBTv4ufe81pg/uwLmyIfJD4OY4VpNcy
zyNoUZXf7FNsXxEUNd2E96c2Td9DSjqI3+WVvst9uzEp6Tgm+MAGIeVHr0RHZ4V7e50cemVR0YKP
JqqV12jWhxC54J+NjSYyEi5u/y52K89fW7Imwnoh53dnBUAVdklljdZqlEX+hNou/XsNfRb0Ywfx
2a5l/b1BhhxEjUEaunfsTvyKcDNKnrht8yfITFh3157Q261WeQKgdAJBkQn4EfVPVLrvnL6JPiJ/
Qj8KybzqpTBLDDqhA3U/UOgq81WHQeOvysyFt0F2gkYGimfOc5PYAdkB0RYtu9KMXl2OIOq/RhfR
dTJ7+6EnAYajFLTqR4qEbYfeFNo5q4SnoFqhwkQQyBLR9zDuK/h0Lm3Xu6kk3eDpNZAZoM1j/7Rr
IN51VFXe2kg8bo9cVuoR9DkEF5BI7mcw5cHBqELUeKq0h4ocWQhyb1kPICEIljcAdgZHzW22ALSF
Lss4eyfSwviRgwkoji6CkSka5bX4ibOHJtejn0koo5ndRHsBWv3JdIa02buGN3XrpKK3uR1x0hF7
UHfjk+0MLbSVwdeHTRpbxT+J74dfPYCML6btDgi9DRWH6SduhiLdo/3U1is7Fb4AbNO270P8IrxD
VMVxeATrQE4NyK45OmauIyIFfPzzkIXOZwdpffKXrhuAvaQdKtP61P0TppJsfWpq0HuJyZMTQKT1
cXJMRTETWS5oiBZWK/Rgmjh4p2m69aK5CVxgLTaT2c2TGneLgoENViKtbPDElJzmNAB/5/yD1UwE
xaKAaUe3s+7qnd1l1tfWL2zo5cYkP9oTgEIcE3yxjehTg9RAW8Og92zyOuUMBRZ6oxAtNsCRFaTL
An7gStAQDbf6qCgzmR2Stys/JbRuAmpg2x59ppZoQ6d+3SlA30/gQBr0ymgCoWwtIEEY4Zqx3HIr
2j5OPvoojXjIXA80H8FOut0WvV14B54dD7TjPGdMD1zIob+hHGImBylB020Lo5Pf0f6twkMhAsDY
gWrkA2r2XbxpQfAT3U38INhsmvyiV7790eNt62xlqk8JECXobRupwHJsQO2QpsJgzB8G7FI+peAh
vrd5pWW0/hzzJa3HDpUMuNeUJ/xC/4L2fPK301Uj0wfl9egiRVHho3wfJ+NdKezZRIci/GtGbB1B
vOWBg5hiV1BzRwIbXw3lDC9p1w5fygmwu+ZEMRDkeuruq3CgxixNEaKFC777JQGHZ9wPeBDACyPH
mmUFoFnt8WSqnvXOYIP0QOo+joXMsSvM+UpghqAvI9LYg6dCWxwKhg2SU9sBMEJXqsEE8QPyc77x
zbJrauY91l9PAVH8h6n7xrizI8SpHzXYJdSKR9eJCK8ovFMMTKXzbCYB9IMWAke5nYwAWmUUjHLc
+EAwj9wobYIgaQ5yutZM6+82tVpusoTLqYBD2q5Co9Ri8km7urO70HU3URYokhQUYuRWDU33bVKj
/KQHY2ZsarqyeHR1pcO29jG02/ClR6rHGaQaCewovR8tIQVFFtdrvgY99O0H8pXxDv6y0ewqSU3f
JyRAsad9jx44dN78GewnT1Rat8FLh1coiO/Wl9GGdpBDYd6j5rHhSRV/0dD7KNdIVo5qV9Dj/ZIF
tT0gPqMNd3+VPEx4DdFlUonFLSNyhDq6qkTE/K8ycPu+zBKcaByZiocKH5HvUg8iqsCpoHfSeXAT
kOYu5Q+/gXQKDQ34GjoFvf93YdHRwdUlotyXpWg0UIYRDUCXFl3Ab5TGW+e5rIKsfaSVbZDD55Xv
fdTbQUwbI5zMI1yjMIVpUwbZ6i+3l3LMyO02YGuie/oKLrrhbPV495deULEoKBBuAuXZP+nVNS+Z
jMI5gQKGJWAmf/5rmiAzik7C/rVrwyOtFYAVNdCt1EKK1N79BXmycYXykm1uG4FcCy7POxFjwnOI
wDCPN2yhLvgZGbOvGn9FCYQqZs+hP5yxdOEj7iKLZg0maURpygLkshv6ZpCHofWThwmM3bfRi8ej
Q+Fg81//+T//739+DP/t/8qf/78l6H+yNn3OQypf//e/LlkMmfS+SeZNU7j6wuuwJ6dRxDqePrA7
gC4hSUs5z72/Psol2ySk8kxAjSBMXGdhAehHY4VlEK8nzaC5igrjq9Y21RPvjOHu+kizh9aJ8Slx
AtS5KSRvH4sPevox+yjwczS1sJSttPC+n1pjz2Xar00NXwgrlf9Udo/AOQYb97XV/rg++DyNxeDz
GurKxOrVpit9OngZdH4MDx/viKyKjoUI8atEqmNX+w0MQbML0OCJk+31Qc++LV0/On8MJwDUGe5i
Baex6JvAAvU21W3xSUiEsbOi1N4hhx++1VORibmWKR2Jvg/+ZYtlpFk2NPgbQDArinqXKTfbQFVt
NoOHq9JbZ2Xq1FR0S5koE9piYfJlekZXoIGP2KSyP1RulDwOsnw10y59evtAvCVNXOh1PqNYmLIl
um0BbEItAJ3cejVQEXhnEFV39MBhZ14f68wAjsmYDiaQLj57DlTd0/0BwxbDldQ11wq1UbSkR2MV
y5yGBSjhFYYY3VsP9zyeOy8XccWAK3c6XlQ0PkJnjFeBxt+j+ahtzXZK3795Vvh6Gi5NCkFpw1ws
VVr6E7e5Q8KJHdnayyN3B2EUZdxGIH4ie/uGL+L5hkdaW8HtdQ1FR2h5xHUNHmwqwOAloq3XhmXT
zC2RJzJ7Z/r05qnBrjQs9rviG5qLBevm0kAaYjcxZYn9EhUtDQdVmK8NAoV78KrBW+OkMnE+B8tH
eYADZsxT/+Mq0PAD4IIERachxnuY/JyMHAjVmtv7lh/jha/ItsDCDokmE3bMYtXQOGhm4gKCM+iA
HjB04QRQnVnDXWtvGExeHgol2vlfl51/OivDg5kCh2g+y2a50oxQHD0AhJUWmTcC1IUDJokZxEKg
tkT/xXoVBiDDIWAqFTgGGLo8sHt/iPaB1aO4NpXR26MU47nCtG3L5VMuYi9eH33SuWzFDBfk/dBL
f2PiGbZv6uj1+k68+A0NVyI14gjFhX36DSH5452jIIbHFW35qfW9bZVjUB8NfvVvJiWhUwo+oW3J
xVA+Kb2phwNRqjfQyUMp4Gh50C4QflA3XCPPb2v8nZH1pK8GQBFP29NZASUHdOMhKYwWTgaYuUc1
Z+eTj9OQxy70ta8q4HqNodEFmcAl342u5MH7Lz6tIxzX1B1HOkuD9pzHe1YN6DwYnlbigQTbnGJl
dRBOH90IyL//1mmGAH9ZYGJhC7q/hr5IT4SfNjkNMbnOpiz4olV0cFbNgLVRAcrsnQiS+DmsKvOe
5lj9gBmeeMeVO21ptTtHoDjq1xgX3S9g2ZnD+x5sFt39+BCFOsVdDfrLjQtrPpnXfu5ifTQNmGps
O3Id06/ws4AOrDdgfYDRxRa5drFOxyZEaxihkOtr8jvvvDaycbozUEaB4tIzco14I4AHlOVS551N
4Wxd6nZ3786QAIoEr14lqwcRpsGhbL0bv+LSoSP4s172HLic+b//EY4hD5mRBN0D0w9tSS9EY7wG
7n9EJLy8MdR8qM7mi4ACJxwYsG0vDh0ll6iFumeuveabBUZzT1Mmo62LjmyBiND1r3tpMDkbi4L0
gP5gLHIet4gbc9a/pe2Y+fo6183iQVNRtbf6IaEWb8I6uzE//dK3dKgUkJEYtjKWbsYuHGuyCDw4
EXCp0fbFiwAEtlccFen6ccTtCzCKYe+QC+yfC24KOlx4AmwpjUQvmuHa9yOo73IDf0bsSorl++vf
ZL4aFgsAqVhHPsWh1scVcrrW2fz5cyS0QMVBrHRK8PYmrbft9VEufAWuJZeElgvKEGKxrb1poPuK
7MG6HgWSuiYCKcoyVnDvx931kS6EVsK3zsVu8MWlvdi7SS870HbkfnSHquMUZN6xoLuzpowytyDs
bN/VeoAWpKs94BxSvT2oklAT62xq3kTVxRZLB5ifYR9Ya1fLtfeNLeBWiLHIH6BcJ1+uT/XCdraw
ODZ5KbCx9OUDGoQkHOCSsQAKzy4AEp9a6nSgqacSYhnWZze+7YVVtLkZWUIMui26ead7BRMdxDwt
SvqA1uq7so/R/isa56EyHPfGUPOfWmxLhnJ1g7SGl/PSwhmXnhpjII/LOFG0gJI6bJEoDQNEwDFV
2/amMB5xxtJuRIiLM3QMx7bA3FiWPp+WPyIfIM4qQp0JRTRIFzvqnKBICjTRYXXkhzevHp0J9Mg5
w45CbvR0KFtDSx56KUnu5IkPZllE9A3AHR9gVcYuOLyuNG4Eo4uzc21eldz5unIWs7NkoxMD2TDC
95tyqyEq9oiyiRVtQqjlb3+u8BVZQtuxDUkGfDq/hocTanB8SpRVbJBG5DkKv+5tVQDvvP4pL82L
yOW4hokdrJKLecXIaOfgj601hDMLgyHUh7UEj9oW8OGNDXLpgp5PAI8HSjpwPRfTgqsv7LZlWpg8
KX9dOHlnARNQ+QFhfQ0N4wDJ4aR3s5532tj/qqqyO+LlU91NrU5y/vaZ29xlNM8Jqpa1CDd1giuU
6tHJxHRXHVoYULvBrV/aHlLsvxjJddHDAt/DbTEHoz9OBq83DEr5BWSLBoYC0MOQOjLAveKId+Mb
Xzr7an6f4apG39dZXBb1UAHRqoFTFMB9j+gx0mXDvWpT0cO5QzhaO0JNdP7FceR9Af+WyE2NQp7O
z1foPI4IZ4MoTnyYtsAw0sDWv45meigm17vx4r04R9pHyiTFQs9ysXA5HAfHGNFt8sK8fa9CM1rj
wTMdUNSIH2AJYjmBVuHbn4nEbjlDq3TSOnsxxwkJOvB1SLcnYFX17UwaBSfYKOPJZezvVhiEX6/v
mkvTdJTD3mSH2kS706+KEprpDeh4rO3Rql+GCaHxKgfOGuFI+qkPnOSh7bXx5/VBL4UD6sooiro8
50xrEQ5ElanS7FFKgAozbPJRG9d2okEQoFu8f/NQ1D2pyVAVnItAiy+Ky/bMNKN3AP1X3wRUKx8o
K8e7pPS6GzfihVlRJofmJBRvRnKc00/ZQl+ClFWjFOsKsYtBVtILSWzkr53X65Oa/9Li7oXmx6Yk
f6IaIxaLNgjPq+NCr9cSWMlThWn1ANczw6Pz+jjzHj8bR/IIhionmNIilDqqzOIIaVvwLpV74Kzk
e3uobXzHJYJTk61eZAdmoeA6xARBxd+vDz9HrOXwStgAS2iU2RSFTj+oU2Wt5SvJiRdW/0F5Yvob
VDeSpU6X7cox025UXC+cBYXXKRVyalzSWUbQFmyiCmJais7kwzxKc/UrF7W/DmnvI2Ay21MCgfz7
zZMkZiP/IqUUgofE6SSRPka0H6z2unMRp8tRiXhn053eoQeJpgkvyhtr+vurLb4qlyL705EWZ1At
greb9CNt0hphtTaOv1tBqn7MIf67UFA64U5V6LPrwRBAYZogfYDm8j+mVCDtzfWJn39tS9kuGYUk
y8JZfHFcIHMg3xRSKBW2ZrzHNDF5pSWBAyoEhHukEiy1GiHYmKvrw55vKktxTJk/tBBEG+ZT/Mc1
aaMvHDqYKuFfiONYnM1SJthMHuGz/GIThjdmeXE43Zl7TK7ucmmeDodkoQ51CZDTrAH4ERyPeawS
ePGDNkDKDnJk5t48v/mL4vMFCV5njqcDOvasSpz3NfQfjbZkJNPmw9Sa9jGyvB4Dzby5McML64ih
G2Mq7hHS1sVFKcsuTHFZgvrppvUhlAXq9Vg7bDTPiw9BoHnHSdOMd9dnOUee001MTZ94zhOHVxzP
q9NZUqDNaSNxVPH0AN1UDZgMxmQ8Si+Kn3ZQlj+jpsY/AJLRjfNzHuXnkW0yA97jNvCr05FNlIXG
qrS4MNEv3dJ6VsdKOsYDOj/5jZbhhb1DBVeXVOUo5RIET4fSPCMqAtME4lCg2VgN47SFWw3YeSo+
5B5O3te/6cWZsYLUlUDXmdbiVolTFWhTCPQEinO2y8kggfl72g7pnOTGR7y0fDoFHtd2aTsJtdik
kTHA8Uhn/ZgJAmBXaf7WRHcHhW/5icavsUfQaLZJGLQbWd0cVE73DfkVQzouaSRfdLFZ437EmSit
Gigg1Jc0XIp2IYWPG0fifOF4f1A+Zl8Sas7OYKejSQLxu1nXdYSkDqSADSI0xQ6lThSHcIa58Tn1
eScsp6XmxxmdJ4PseHEcKlEgktzIhqZTaT5FCS/IIMowNTNlGeLa4lV7UdSQBWyRHsoyRao0dJtt
0/kSWY++fBSIqr1c307na2yj32dQyqPzzA2y2E4gr30oeKxxnSaoQ3QE2S9+3Ax7dILsz00DE/MQ
DbALN+C4AVleH/3CEri8M8n6+AfexiLMu8oe4OWWNPbr6ZuP/DGNF0ymRyhNhMDd9cHO8ySikE6b
lnNjSWPZfp5NcRFExJ1CAO0+YMiFyI6a+oOXYplLYU0dcz9FTLJtmmhrAUV4ez1YcYgYn19hI8i+
OE8JJVKBwFO7duLoJw+i+hGHdg8h2dh8f32q5weIkUjIoJBydzPf05jUlljzxRZ4G2PIYByXQbMP
aXfe2NAXRiED44E5pwb0JBarV2ouMtrC44NOLrRfzH/uNAOp1OtzOQ94ai5BzrOB3sJ2OZ1LjmYt
StID8qyznNcYyO5o69EX2U/T/l+MZJPhSV52VM0WmWyHaBnslR5jV8DI+Jn66i5FfBi9D5kcrw91
YS9SO+cRoqNSTWd9uUCBgy2NPWvH4PtYw5JorZ05GP2jblCvX6Wyjj+mI7y9WnXl57q3315JRn0O
yJABQMGm07k49wj0Ut9JgVFhXpg90A6ftnmPLmUsBnN7fa6XFvA3aMH9vXzLhiAaMF2rWqNHjqeE
JhVDJoP7Hj2jdnirMzF/ttMIizsuM5qBLAJB6cWOdDxMqvQRtmUpJ/kBvbvic6HZxmdDA9+76hrH
3aR5lr/5umJUkGs8KHVqZ8vFRK5nGBLf7NYDUMp7jJWKjd671r84BxjcUQec8QQ0ck/PQT9iDC1M
JNphHKILOkm0WuVUrfHye3uRiqnwniR+0FilIng6lG7AWAZkDexJYVmiEGnd4oRnrXyJHMvbN8dc
S5lBBHTArcWZM6oaU6BOduvSq8f95KKMHdAo3iXd8P36SJeiFY04rpkZXkVz+nRSdiNTd0pw2yir
oj02FS/kzAHpf32US5udC1VacGtRxbQW0aqQHqW/CO5l6WAbgio/UtCVVR6mJu9uXJ5nQzEJsmpe
wph8gTBZZEkTOku13eLtKqxO7bFHGQ9l31JjgIW0vT6rs3M1D8WXsymSkumai5tLw8gbXhFyR3GW
+gfgzz4SRE3wjCdb/dXtTCipEY4d+Y0ZXhjWJsvFXoguAtfMMkrSymYfFHhhcgWQVTdfsE3U90ka
G7+QXHVyRKCs8q3njAfDn4MuNr+FFE7qB8OEll0OOc3AYAdVjmY3hn13uP5ZL6wgnTyXGUogNOIM
ihTyBDLQTFgXCG/egVhGmVPh5wYA3Lxxzs7yvHlWQCdp1/ItAUyc7n4PcEkoh3g25kwGrNmQdjUl
AjzAF7R90Rn2N/Kw+MOg6hvH7uymWwy82DpougCrN4Np3TR6v+MdiHpRaEHV1KeouENtPdig5AUD
H/PhBxrL6Y0DeXEPcRlw8OmgUJk+nTgie1NTuVidiAATqlUokLXc+EGSPXhIBERQNEqUQUYkLm5c
8ZcHlha6U3TRyDhPB66UjgQrTlt0+eLuE6of5T8GNkR7qDBqUwo17WNMIN9+UOceOdVArj+AYIuv
3Reaq2dePs8WEP+aklWdPrRNlvU/pi7TnrugjjQquHn14/pWPouuwIp4BVO9pYAigdedztbOJ7Mc
UcBZI7+gTbBJWlDxOBarj28fh6RTkm66gEmXvTeuC6N0KvjTNmWo2VFnrLz7IIC3cmP5Lk2I0Erl
giOHAeNiQmEzKTPxYjFrImPemuO/MNXdrf7shQig/hxlcSyDGI12hD/EGjmQZq9sDxX3wJ1ViNSb
SyKsEMk6PRLImTRoFtcFOlJl2gUGoBs7N74G2qi/N1pFtws80eb6Il3Y+oqkFtd6e+49L3F0GOU4
bpZ4Yo3iG2p7aFaiCt6Px6oTzsHHWXfVIc5+Y8EuRDjyFdumfaAjvmkvMgmhAqVhsqUjMZdWP6i8
/IMi4vTUExPuoeBnG2uaveVchaj89eleWkR7rnBRTaDev9wqmN35TRqzS9rUHvfQ0jFijGD5GWjt
3LicLu1KsnZgb1RG7DOwrEuvp/ItJEIogOf7XOTlRlFUuBEz5yhxkkazVSgWAuFTsBedZedQmUh+
lhMubsCrR9QjVXmc/W535Wx32ZejcaOhdukDzhWRGdypeB0vYrQ7YBmHzZexrqws3eZBO+5w/hr3
8Bpv1UEvDqUIIIJ03eI5eRqnRAkTimaTsS4hJW6JlggTYlCG7qS6BZG9+BW5/agrUhqkVXE6VByC
1k9VYqxrPDGPkBjMY4F7yt0Ac/Fdb0l/f30bXjp1LBmR0SBTo711Oh7OCVHT2ExNyupXDF3xEDaw
5mIccjcNhhGYV0/5jTEvzZEnz++yOTWVJWSgAPDuZwNhf3QbsZ70Mo42Y9mnGRx6fBgRoc4ers/y
vDPC5nS52kDPEFzgy55O08ptDAFGl8AcuW24SsLfkteDq+9i5JMRrkM1jDjn7MLAQo0OvqG+83IB
zez6D7kUb5g3T3hgXzRpFvE0Vjo+UUEI/i1yjGcNQxYBRsPu95TT+h9Z3lhQl5Cl7+pK3oLDnY/N
+SfAYuRHOZ9a0uk3KDTfHrrRw64rj8pNa5pDjE7eynB3cJPqTWkG/bZJa217fcrn0YdhLZ29bM6Y
rOVDF8I+da35Ysdb3dyqMfIeY7TvDtdHOT+i8wCgvXlJc1OI5eRiZxoxkhvA0noWgcfHTAu5l91Q
lJ/fPJIyiQLzm5ocbZlM4ItOkW5QBuxEaWzdeAr2veOWe33q7RuTOj+cNNJn4K5jA8Y4A5n5dmhp
WR0CzXeRVZdZjnq40JClyhxvByBWQ2qgvgVUOj+d9J0BhfLe5TFKG+R0m7QKMndrAeKDuxkezBJv
2wqbucPQwLytQ3DEb/2eczmJ5zzvRHpNy++ZdXFc4z+FTFYwtXB9h4rIkPPweEjB19zYjOdn4HSw
eRv90SIsWi/o+xlBpKoGIWqnRivCb+VGTFaPVS+8fZUT4lNcvW/Uey6EIAPYF2IKYM/nRGcRaXNh
NZZP75OOe6QesTHs1lpgfsk0C7eiAtlThEmxjx2QMC0rHI+t1OhuhMHzpbW5MCFUzewSAsC83/6Y
fR66TtAIfdyMlebeaf3o78dEeYc4LScUhsZbKd35oWQ8+tDQWBiQCszpeAkSjkgAuSNOOob7SMV5
wAwtkBvfbG8VG84XVgmCjKEbNs9iiBinQ6EmM0xoZfQbq6g6VA27unkJXTTb9baJWyjDg/UN45Xq
3seN/camOv+sjM2igmw2qawsKVbJqKOnOuT9xsEq/LGHQXPIKMiie2XU+0Do7Y1M+fyzznkjjWDS
HwcMozydK445g2aHqscQsSR4u9GwQk4Do1NRfbl+Nn+3PE+TOjUDXLk6aa3NPa/ToZKgcqnY++MG
61hkGvsUPNGqMrFKBeon208dmlnPNko770Dljmj9RzRHVrNANB4FGOyu+iS1b/ROzy8UZRCABUnz
fJUtUYCIR7UCGDEqKp7AdBA5n2At+2x8vT73+SpeTB0elzUnKpQAzuIgPHFct3QTdQW/RkEIqrtY
A/opw72O7yjYNAnAAaaUs0Gus5GrdEQ37/pPuLDQFF3m0SnWIQYxb/o/zqvpemjHxg6b2hLxAylC
cxCVJe4AzMsbD6GLQ9FPg4JDzAf5ezpUHUmykFrvN8akNXihZYFuroO6RvFZyb698fi5EAwpFvPg
kiDh5vfeYmZBx0oIJEtQQuq1bN0aOnxpNHXuJJTVddfo8NblGO5hCTtP9VT5z/6k3+J7XlphaKx0
iBxg3DCClnNGQ9DQ8wF/IV1/GA2JT0xI5S5LJ/QKcYNF6dLQNkkCv58spv14fXUvDs+5InhY7Ofl
g9dMai+ICRwbXY8tNCh1GspxBy3aiawBvUTw8YCsW1QeCmxiNfVmvLXDGtBYnklB8+twsQaNDbSj
Haph43dp8b3AsXAvvdZa9W3Z3jiyFyIkFw97GU4oVZElqcXXW6cxpn5AJiVGSgMH5UM/APJG6iZE
9cZo9tc/7aXdDPCIzi2dTJ3k6XRlI0wxY1OxvcrOHT7aDLCB4djcR0V4C8lxKRrNxZE5XQLrtdzJ
TSswjgzBOsayMPJjkDnILWGEhvHA9TnNoXYRj6hRcG/DeYVhu6S8qmTsCj/nhstL6dxjjmptvRwZ
orxtpg+Nheg1clvu9vqgFz4kF/dcj5mRFcZvdMIfEQidU9X7MYJ6tl/0mIjhFbQp5GwSVNWIf90I
C78Rccs50mMHbgSLZOYfnK7bCPA4zcSIZTPo415H7zxzMfybMqF2U9np07b3wiZHdzkdvyPKYKEt
j9wqgr/lLEfTUyHtV42IkAONcbV4Ap/djHt6orq/61uk5Ce0Nr61QmEwi3Qba4RtjD2913Rf81ZW
5XfOFqX2obmLjDB/ZOJ+gjKz8WbOKHtFku+QHrkwHYxF2SkL8ipRVosoH6qYH0Te3/k9cot4aKm7
xMRK4c2rCB2O1yYgWYuCybzKf6wiwn5dnSSJyRO3db84jfIfcgQKvkqjm26kuRc2DAx6B8YoYALo
I4uh6r5EZylozU0pU+cDMjHpfSOs7GAPCB1en9WFAzE3sqjK2CQnZ9lsWwfwyVqGohE+3JNcOxu9
mYK7KKFBB+/SeDAwP7oxvwuRjOSSPidfkhaauVg5ORmV8pAk26SZnb0PVXjExoIkrOpBxjfNLYzh
pTn+OdziQGTJ/KSmrrGZ8LtyD43jI7gmJswSV27NVdXRIcWJxizE9vrHvbSOSGSiGcDrkxLpIscM
kU5FbpAibz8O4mtMteZLKfzyJYnT6fn6UPM9szj0dFh4IZjAqkD1LOZY66ie+LToNuU4iS1FRMy8
W/mKyQ4mXoNmrHMMYF7LmgbF9YEvfFwGVkA3WUwdUs7psbAidLQ6r9Y3caPQ4ekN7SOoqde8Fd3T
0ICrtEc9u/FdL+wfl8IPFV/67sS4xWR7p0A6WTFm51UOFwUCJY8pIMBoVRu4NGWjo3bXZ3lhJaGJ
ixkwQreFAu3pLGtkwdx2QsC0Rwvpqy6a+mk0Iyx8aeXdeF9e+qAziZvVJIhT5jodSkugh6VIPiA7
2gjUQZuqd5r3qskUfZDGMNZG5TjPfQFb6O1zhNooJRpMZFLW/NX/CHBhSelHkkRuKs/DQqhBJfVj
mWgV8mpuWt1IZi59UDYrBcU5WyYSnA5WKaOJQ5rrmyzznM8yH3OMJUJMI2wnHG/kiJfOhjVfhyD0
AYssETcx9n0NFjD6/3J2Hkt2I8mafpW22qMvtDCbvgsAR6QkmWRSbWAkOwtAQGvx9PMhq2emDhJ2
MLy7YiWTAQQiPDzcf+FbTlA3+MAp/V2f2gZqXVxEKccskYCml3pAFaDbAc1vJKgOgB9yDarDjL5K
EImts6hqHWsDo5T6m8lKw7MVoDXvVVMITqxNVf0pCzTzU9Yb3Z95Q33q+nfden0qlQuKns4kD3I5
1fiCWsbQVJpvJhky7WljiPGkF6nxI01q+cbAdPwQgfzzm4lL2s7gW69PvQa008IofYNf0NSxGwtz
0BALi/L0MFlaWCF2qVYfEwcorV4EyR2GAabPdbU/QIXfw3ttLTSutygwLKpCHKaXb5/Qda8lVIdA
dGo5Qrit7Malo58l5Dn+B0EChvCCnic/eJOgR0oiIgu9cj8bIvQcI7s7ZXi83mQlTifXv+lWBGQI
QE9c4MksV9tHDXMFmTOh+fjVa6E3UD55yQcgyS7eLsNdj13z7w+J1AL7hxojuGS0aS4nMjSKEq2w
eiYuDf37Ds7kAd9OzGv4v+OPMkC37Po7vg2ENrpWqEssOkmLxM/lgAiM1yZCgbOfKqr4Cl4DlatA
UtxExs4pwy/RRYZ53Im+r2fH5UEK2Viji7OIPVAaWe2WUZXxgE76CQXQUC78sR+Vu0E3gh8DrPKP
aTBF923YoIg9lbl5bjMxPCQ4Hp+m3pH/fX0C3i5dskDSBnr60N3e9FV7VE4RiZCo/GEG8EmGRvwz
By/4UOZV/uX6UG+3KVngAmbiSOVWtE4fVI3esKjF7HeobR/GTHUOEX61hzJrjE9O0GUHeYhrl9PV
OjfZGByuD/92OS9JKBGCDiu50hp2HsKUNimHoYqBiGKOakOCRJ4A1UByptbVfd879c6H3lhdirYg
JyiDgUK3V6edDUu6x7Bw8pWFltGnZn3QOsk5YNMy/8QDqTolqvXh+mu+jcQoOFOltzllyTTXpWNM
ypSxq5AorJs4fk4z9X0T2MUTkVA6K0OE5iiXf98mGd4JF1srieAHVhgUNnfQ1cuGGaadTpTIWK+i
f9SOangnpWD7kzYJdw72t1h72yZzAVqB3w8raV1YbdquTgcDgwsNUCiA2kGgMJ9gJGjXQfHI4hnc
FItZX6jDeGMp4fQUk3d9Qm4VL9Q2TR7UygrP1yd+62PTtKRaDwyLDGC1qXEXE5gZEEriGbIBpqA2
YHSMm0IvwN4CcyWEhm9yx0D37frAW1+cVIpqDXw5ENTqZQwTBWZeYhxmvynL4R7DIPUzbq3pjd1o
2b+nsZaPBYIHRyXRh531vbWlCF8gxFXux5S4L0dWCvSxggrdZOr97ePYKAXvqkhf0MVqb+soDHYi
yNYSYxOzpwywuHS+LsfLAOoOVow9JfTR7jiiSu2R+mEUMdrFzsGwfK1ViCZWMZt03IlX64pukWHE
uzhkIpE7th9oUOgIzrfD829/Ouo1y52KuhT58GrPVIgATnYjJtw7s7Hy8Cu0bqocwRxFSsojkptU
kZq4xV0Uloe0s242FiyZGuxfcmSuVmscMOXcqm+oVvlzOJe4Z1XVjVEO6mOHNdkd5fLOHZWx+P0o
TDrB2b6AlVg7q09o0PI34jhfFFQbPF11HcsNfKGPcm8820msnq5P8CteYP0dQeuSvyB7YHDqXi4Z
DTVbNcHc0adRmniIPycHrCqn4zwY5odS64rvCsrP/oRnymGUcUU81LVsnvDQTD7FXYluPYqSuudU
XIp2Hm1jNdNuJ9pSxceNfV2QJJWjj9m0k28Wlvo+caT5xuq76iPQt/xniCvcQZ6QU02GOvpacmv8
JbD8kRGN1IsjjpfxYcY/4L4lFp3lRAw7q2Oj8k/xhL7VcgvWqf6v4hmE8HK2tH70B6NokNYphyH1
Y2R2vjWyJllHS8In9dZEJePXAPY/9Iowl+/RZkaJYGemNuIMO1CRadzRlAVEdPkRM0FxOCqo/xs9
LpW46yXhsUPh+W7ptM8H1Fy02wm7tbOJRzKC507+q5umMj4UaJX5lSXlD+Bi9VNsldl9Ug+Y8HWJ
ZOws7Y38hihIIoUm5dIsWH7+97ttX1nwveTRF0ExUqKf9fhOnYrsjrPS+Y60O/K6BWrvTGU+la7c
TsHn6xO1saMX8gDNAtD2GhH58gkMxPpwjJTZXLGBtV+IXfYtvgb9s5naNG/6FuHtA2599u+fAzCu
GHKhLQJcWZ0Doq3Uno49Xn1SV2I3WmMT/RLVmgSFWgX+gNG7lak3v/2y9McVHboVKDZtfek1AgVz
rHiQfRyH6vJ7KE3RWdD1rE42XgGxGza4Rd3idDP9dmWRaiJhm8oJQYztdjnLgBB1bJFyKkN1Ulb4
4Dg4tWhJlcJiDqT5jGO9VuwFiyUuruIYKLNFyZUePWnP6pCH/qlCmU7Qry9MVO+UYEiwGOzKO6ef
fmpgkI5C7t6PTtKfRnRWPBrA3cfrE/42XlGegGDHOQ/qBDm8y/fWNTEPEZVaH6SZ+oVikQGbzkDA
qcnR8r4+1kb0Adcik8YuKAyau6stHzncd+SZzTKrQ1PcZQSo3NfSyPqmd3VTP2TzNNlHR68nHV94
SI5eE6DBjWdNVuzRud/mAoBBrFdCF/ktupiXLz7EGtImkDGwZiesuE2lRKcZy5yd3fs2yl0Os/z8
b/GjHUq4JbbW+cDb7BBnUru7a0qcDfD0aH44oteP1yd5a0A2LJUjcAM0xFZrqhVmZ4xZ0uNFB2XS
LnAMwsoUEhUOiG4A3GYnQ96aRxDzy+ekoICa3eULYrKpAEhoel/r6/ChmJv8k2qMe0f+2zBMqQK1
DA3pJrJEZTWNYOacIc+6HiuBqjlCxkxM18GC5j2dqvr9bDjB+yqRtIeiDDPf7GX9/fVZ3dgmjE12
Q4JqLHiTy7ektBHpg2D8KGtyH+8tnMbbpnmY5qk6XB/qbeZP1UsD8kEgInNasx8Qs+7UGRKNj61T
gkVKKaQvIlOt21BRsPamHY8TSK4GL9wMkr2q21vRvqXmRmkI/SH6VW/aAZWE1UCotrxojLmFhyNI
cGcNTXKXy61ZIXyEYu2rpeLXCK9kL9DL7nNbdb+yqNU+NfGcHpIyGhEY7K17ekTt0/XJ2VoHkHGB
zC78Utjml9+hiEYdS6Gsp5XdlVS0ERl6kswiOk1SqWn4RtsWenf9gISR0OSPiLobO8nn1nonD0Al
lSDGNWn1BIGd60Ht8ASDgQOrGwUZgF1hNzvV361tDMcT6D98U/j0q/CUYK3Xq7jM+ZIk989VISc4
TWLCOp2cea6OPW3jm+tTu/liFM7MV47G26593Og4CeRsZA7mL/KoBo+aySXl+ihbGwmBEDSYCBow
fFbhAjp3XhQR8TBPW/nQSoHlx1mPOVgh/T5+h6IFqHgqJmjNcX2/XCtBHBFtIwvBjN4Wp2IYHN+M
5OgQhE65kyttvRXCQdRIKEUx6GpRdIVSpLHmdD6IUpReu649qJGKsXkU7VVkthaGRVxfRBZVClDr
CWzb2i4N4vuEwdmdKrfCx/g7x+xZmIvLxfDbQH+yArBeC04F8P36nKSxkZcdfkR+AIkIre+sPtVj
FfoKNm7H62tjI/KpMkk2GAsuKCSBlx8MAJQmqKf1fmvZSM4Gs+OFuSQAj/TNWQ0dLgmSDlxzSIKd
Tb1xo0SZiJAHFmmpP60FqyMVfBNtoM7Xpah5zpPJin1MOS1XiQHmnavSUb4hM40DtoyH2uRFA+VU
bqF6vhisY0rFau5wK+MEO4clZET/+tRsLLAFv0qFk6ruoltyOTXFZJcNzbTB13E6OM1V+q3EHgi9
cHMnwG5EgYuBVnGnCbjCDxFoyhncwOijIoJlidYazU617+2thiso3EbSBnBQdCQuX6jDgHvoJJax
Os/yyen7mpuvIh1qHSVBW87lRwk9wZ1Bt043uJQmnQHuU1DuVitMpS3QaQ1GpZ0wo8KbpQkjYA3N
UM8ecvWnVGYyOhZyq/mCm+aA1Yumf8i1snwqqwlFaiJHl5BFBeGd4Np5YseMX65/6a2JAUW/dN2I
KPpagCfBjtDUS5RThCKZn1JMWQ9a3EmHMHEorYjR8jHTNnei8tagCw6Qrir1mzeKnKjq479qBb1v
s5jPIiq+p8CcDi32pDeYh+H3GkD/vP6iS0y8vPzQmeAUMAgvCiF6tdIC0cywbSQyDSfMv5lF/zVB
IPMUl21+L7V9cBMrFlJZU13cJUHycn3wjW4N2THbEfzj4oOyJteW9hC0irmcr1AKGj9r6uIxnqzQ
cadiMk5x0aZeFsjDcYyVcjjXKXChockBu9JE32M4bcT05Q5GvwbI64LJvNwM+FymYZ8qfPOsSW8I
sePjEKo/Wquebs2xak7XX34rzqLNgfXLkuEBgVoNl+CcKFV4T8yz0f6J0w/85TYrjYMxVPiy42Aa
34VIxD3ORunsHCdbr2pT96GlTcOILOVy7FmTRYGldusr1eScnEjGKdpA58R1nDo71NWw0zlZ3mW9
ytAC5jBZjhaYP5fjJVkZKU7HeKSm4yHN8DyWzLo4JobV7dwRtqYVMi1lX2Dw/Mcq3xD5PCUZZqp+
bKlDfGhsAx86iqHYdzXNmYtK+4LqMx6mwLTVL9c/6cYGXniMC6gXkOJbnxY1LJIsZOwul8xjJ7WL
Axn2wQ82/7fy9Fy0t6NZ2Yfrw27sYcA7ND0JHksFYfU1I6NK2do1DNgwNvNzIssDlmUSNYQ4kMan
0dKG6tSrkvZxAsuOrkKj791YNmYdNAhFYHNpyiHjffmBTcz87FkKGl+y2+ToTOlHq+yxt57V7iiX
TnmD+H7kNxzeO7toY2WBi1ggrkR5NIJWRe8gtmpnaNPWl0Rsf8ebVj+lk1rSpMr3pAzVzZeEJksK
gKIwtKfLl8zl2Q5mGd+dYbSMnzUGxrd0ptRT3af9zdx2kR+FZuRZSpx/7rBENCFDANOYZR0PpMQO
+tCFnjDc9OOo+XkIHJHAmqPuDPK8+VqVWoRnUm6+G4I51hBcn/vvGWzugfmch9sujSuPMGHYLkUp
XPeEWZ2jKd7z1th8S3QTl+IfLNY1LtO2Iyxtm6HFj0oqPknjcJuiyjZBMVVrl976JOFbOc4P1Fyr
ncvPRlgCvcTVh9AEdHm9kFXcDaPaalq/xa7qG5HzY6UVYQP4FXSCEanP1/fNRpZFBWzhdizx/o3k
SFcJOyKPbH2zKblFw1fsVDfL9/RTtpYoACLeCx4bammrJWpVTdDnkdT6ctVhsJEnWYyBXNlMt6WN
u+f1d9qKBUBql1MMhU+61JdrFNdXYaT9zM1O0qfn2tbr/MPcBlDKu6HRHgbqUROWR22PtyW368OQ
YNF3/RE2CDPgLhBSoHOJwDhFzctnkPBa6HtNgV+pGNWIsD/KsehFlE1wb845eJc61OrPqITo2YMV
TepiCd6HKIa0yq+knJIXJc6GX9cfaiM0k+PSDiJxB+u4DlBR46RVquFiDNRyuM8E9tV9a7THLMyn
Q1w3auSiprMnXLYxKnziBb3kkFvRj7qciUhNHLwnpcrvy8b84sAxw3OwCvSPcqnqk0vTxLlLoq74
/ZelbwxklQKWxpm7Om5ru+7BraKL3QtbbrwEttB9UtDA8RycUA5oSwPV4KTa2b5bb7vIAQJ7pjzI
kXT5tpocK5EZzPiV54bzxajUkYuEHghoAXVYHuU2747mGI47w76WHVfZBagTcqil14pN4+oWI+dK
ndiqBCo/YW89aEqDJ32vOenPiRr6k3BqLXFTaN7nbtJz01USOgp+MIhKBekeYTRrI43rK6h+o8oI
bQENsxZrMncupPDl+jrcCAavd8el+c2nWWdCipFEQ+kMCF3VuYoDsZ468fTe1FDmyLBt7Oq9gLA1
IGGcNiMXa0Lr6mQGwVZSVEdZS7ZKsP6k0eldnZbxbdYiiOBdf7uNFcDmok6xLAGW/GoFdKPd2BHH
vR8EwvjS1OZzUc7Zg42jsD9WfXmMq3AvA9g4NNC5I9N7rX6z4C9X3USjUk9Kq/KnQsIeRqSNhZ+4
nKI/a1bDl8oZ/gdlcCjJ0MiXi8JSCrgcEXdkfW7brKaQFQ0J/Akxt+fIHmniJrGDXtqsSNGDFepD
djvMlS4JN69V9cf1ud74sLC8Ecimz73k1Ku5juk+BFldVb6SATCerFpzpdAijkUY2h2vj7U1x8jx
0ARH/4QUb7WInJSCANu58iNR90+hkk7PidxnLkPbp3wuo51K3sY6gjqJTwSKS6QBaxVaS6fUAQaF
G2GqVB+Q+8MpdJRFNCJv2Yp3VRmQ4dl9v0e+2cgIFsUaiIYk0uiQrU5PLVWEoTa0xmLQN4cITQhf
sbkcX5/NjS+HtCTla3oLGnKmq/Acy05sOUnZ+GnSFVDM9elW4PruRU5S/f5E0vmiiUBOtYy5eqG5
mNqs17rWd3KjqtwwAdiVFKH9xAy8wCmyjjAcwsNvv5+DtSM0LfqLqJ6t3g/AtFyoNkrMQV7P7/sJ
l1ukQiWwgIrYif0bCxOJkEUp66+jfTWUnSTI+VclKVzXRn8OWVYfFCHL91CArKe8UPfIwFvj0W3g
erdkEVTOL7d+l+Z1jeR161ejbrUHDlYxn5lj546USv04Np2xF9/eEsJoPkA+g3gMW4oW6eodIUbG
aT/1FOnUFLmDwULk4ThQB8+EG/dKIfyqkbVnJbbm5EbpKeoew6lqT2Evk2jqlRxoiHUVhvqzNkar
PoWyIV7swKinY4aGJfnAUIvsw8x+XAQjtOB92OThv6O2bLGDk5wC/OZsf0kLO8s8J8jV8GSnNAJ3
0sY3e56dwAkOkgicOdXnVVTl6jZ2RlzzmuBePgiOKH/UatlNS30+C6P/xTw8X1+ob4eEkE9ZYlF3
g4uyVkSJZhCQSV4YfiUau78DlMT1TU/xrnepEdTzUUpIc247oDx7meGbSEP3lN4LV1dOEBppq+jd
CFzupik0/EagMXEIF6f7OGAB/O5eXMYhkHIfoNGOB8blgm3sAA+FChsalE2GyZ2QEvcGKdXup9HO
fl6fzjebg7FgvIBIXMi8zlpcBZ2O3OrQZ/eFFgQnWyutr3Wtve+kKDgUWccx+NvjLZkmGGDuizKl
2st3U62sxtSSOaSglEmdW5mB82cUxT3m2ylL+KOj5egeXB/0zfV4weDS2qf7DEL2TaUDo+pawRyK
QeUQbXRZNP5cisyv67jzJ+A6noHX0Ds11PYcYpYlcZHmMjJMlIWPxoJDOfjydQschrsmFqbfRJX0
3IcA1c4C6QxPDctdM8rXVG09Gt8SOVNSK9bnanIbtUtl/OChnTjosrpNG+n3FQblg0vWIT7INiRH
N1BDlet5pSJzbURCeqcUhv2EmUz2p1plSB8wYqb5cGTmBeSZd9FNImrSXgfrsAc5iRRkKoJovO0E
pClXbWXgklbQFsKVJYT4PL6f+G4WyfTt+ld8W3mm4SGbwH2omy3QstUdVY8MEjY80vwyjOV7qALq
4DqjkRU8Zi1qdxjtzjhwtSvvOqNGK9OajFq40hhbLb4kmpWdrz/R2+rS8kQLFZ5qFlfVdVNdbvSo
pjxZIBumx8OBj5o0x1gLZ+mACqNKw2OeuZPkDcgEF3/49EXnvoM8ZIh9njcL2Wy8Gq/22pXBwOeu
iSh34c+jrMvHGBpC4sWNEO/zSk7RTNfM6Rv1bqN0W9Tqk0OBycmnSbVQwUoTHXcMDJrbm3genBib
AUOB3ANR/9f1d367ohHuQEId/iqSLFSiL1f0lFYwrqa89GH/md5UqOm5zlrwDvOw1+l6G5tgINHO
4SpEK/8NZ7Wq4YWEKJL4ql1336JeNyFwmQrGPGj7uTKXwZ04sbnC6HJxR1hSBQRZLl8OT7owW1Cw
vtqK4cAJD0Y2rZMDiRGczj6vfamyZTcSs3GYAXCc8ykIvMgq4r8AX/914TXfvHrP/yrKqY7Re1/9
8b/flS/5x7Z+eWkffpT/a/nV//tXL3/xvx/iX3XRFH+267918Uv8+/8Z3//R/rj4wyFv43b60L3U
09MLhtPt6wDhS7H8zf/fH/7j5fVf+TSVL//641fR5e3yr4Vxkf/xnx/d/PtffyiLe/J//f3f/88P
H39k/N5dXfxo45e3v/Lyo2n5beefJBo0CVgXgPuRBfzjH8PL60+0f4JBxG7gL01EMsw//pEXdRv9
6w/d/CfmvDSH+KgknZQd/vhHg7zA8iP1nxDRlo7OUgEBhqD+8X8e7f1fkfWvr8JU/OfP/8i77H0B
j7/hty+iPZsBqMSijMjqWdhD63RITitnlPI4QmccNxezmYRPrN27iryeyf8vzP81DFUINiDdA+ra
qzwE6r/WF4EeelasdE+m2sifKxOHWTfWq/opGIvuWRX9QBAsStnN27wf3V52aA8Le6QUHM+W/CWC
epi4E9YWYKin2ixcU02lOyM3s09RMqXZXWLgrOSCczUenaGPhGvkqRSj2zCK4qCpvT243Cekb1lA
0RffHPEZSayxO02DVQngXq3zMS6g7rl6CMUmSHNxVyVKIgE7T+x3dgfqw/vbUtmY/8uA8Toxi+YN
BUPyQnpJq+07BUlupIUivDmYvTp3HsH2ftTz59D4cX2gJcitvsDFQKsvMEegXgFdCK8Kuy84dT5W
qe2aGjJng3bAQ9a1x/G2rfc8Si5z38UZwFl0AG36BcvdYo1QDOO467VcDmhBZOCXC2c4hCItDl1g
oauGGoqrGq31e0Hxr1Hp/aPjw/XeIt2/DIoVR3LgDGPgzlrneIXTx4dkEfscJthUVQKsz20sMzkO
iTr7UdUWp3HSSz9ls+zAYF9VCv4279T9l6CM3zsuijTc1+dtAwVxCOHW4xpSGNQsu8h4QKlRHV30
nqnTQlLpc3dqdOfRDsNX3ZY0e6hiYcRIsQIDoaDZyfdQVtvA1YJ6+hIXQ/CkV0n3QeoKh/J+rSiD
1ydhEbi6BOr/pINyLY9VbbaVJ+ZJe4CCOSEKVsZ3VhSY70dJ6wdMDITZukpFk2mJNvJRzhSlp+uj
mxPu42J6ApKm5J6pGFnjWbAoj0VhNI5r9ak8HhyjEd+rKZF/T3Kej8eMYXqAYBHNBXyMVxdREB0h
BYVOcrPS7kpKMdXnKZCmn+Wo7skSvOoOrL8O9TXIaEtvnBvw5ULJWgrmoYgltzOV1MMgyMaup+na
e00q4/eilVtvtEy6uCRVj1IilYcsreoPhijmc90XeepJg9TdG1pUwF+oxaHQhPAxDGn3DvpVoHid
FRSEIAawjLiJLD//G7bYtpIxmQp81HBsgyEhwIl7zSzFPgGzfEp1zNUP1yPG1uQgloRFCUxEUOvr
kmcX1WXVTkvLhD32ZKSW/RKoWd5/n8o6hLOHBFvlVrian7OJzMuN9GxSFr8D5Wubakbo9VIw3VRz
DLJ1yJMEvSMj659jS+1yj/tTs1cxXR1myxzRBlp6X4tmiLJugc1T3wqMtSWXzfFUaah2uMD82ezX
J+ZNTCOZp+u/wFlotiFncfkppr5IzJRiPnpo+vSu7cb24Ezqx0qa2/ep2oRuWY7tTvhewelfdwV7
AkA0ag8Yd647S4uFnwQYdnE7mRTTnYNpFifDqYzCE2gTfdPLaUY1rrFCzbX0MUXIfJJbzhRTE5+u
v//GNAOLXlQZqAkDRFgtRR32AElFISFpWmCq0WXlMYrn+Hh9lBVM7683JpsGd0uWsqDNL6cZa5cF
vkcpig61fJOaSXFIEqSFvEgLAAvFoa5/73E0vwlUjNzdxB4zomAW/SqLMn4sUoDjbmcHoxtakbqD
2N2cAjI3iO7QObhPXT7bVHSJFmmQRKs0an2jk6UbUpzw90cBakDbGMIkNaK1jiXXbamonFpyQ6G0
72HUZ65aqtqX6xN9WWp4nWd2N0RjivtwYdbb3LJbU5lH5lnRouwomU1yqlolOweYtDyOZhKeNb1T
vTmzgpvrI69ykmW/LrcW2uLYb6IVsOpbqvHYG6JlIekUxmyOwigBIIST4Qehw2KQ2rF4gA0ufaUW
OcTuUIbiw/UnWIEE/3p5Hew9dRauazzH5YdswkrudHs5bCCJeLGU478rdCAt+OA9Sd2Qnsu6DU9N
h62RbpX1XSKU7oyjJHDJ1GpvFYwgH4xwAlRlN/OehchG0GeHLQci7ZfFGevy6SgBxx1ohdCTrFp5
l5hm9yFsSCO81Jn7eztVynpn120tBs7BJbAt/Oz1MYNeNAIYmhJ6xNnMrbJmvtMHqfiZh07qKYrW
+DH0sYepsaev1z/FRlSFek2mQe8HZPVa7skJOzSgC9r2WleRisE9c+ki9r4T6nXsJo0ZHMqmCnZi
2caoLEDQTGDHiaprhDUcd2A1Y8cZJ2exK6Op9W3os0o51EgxIvapIEbujf2cna6/7auq0yrzQK9C
WahRXAK5AV5+Wgqk2dCZkC7jadZtX0jshLNp5tVtmBeBcQhNuZQOLRnYbdkJrb/VKG3+ObWTRG0+
0+fwXPWy/Cc0VxGe8eGzFS9MMjXzcHsVuMEB5vkZQ3FSz04HNMQ1wr7MsJnXq/TAVWwejkpq25/s
UM96t6Gj2p0VvTOmm0ZFxM0dM8g9XqMBn7trkqkxjlMRZ2ciPhqzFaCQZ9UeNQzMJNV6tKO0c05K
UIC/6HJISW5rdYtxnpNGFNrGxKndibL7eOiyodkp6K/68q9bmIswrFL28UIXWR1HmiOlnSHPbGFH
bbG0HoaDUNJeI5OFK9IBbvREhqpB3KfDvWToxZ2D0Naj4wj9PCVVcWNPXXkjIs15RNpOfddrAxfM
nc/N11x/bRhFC/uPfaWuIznKATQ7+ij0VDk3/y0IZ94kVf3366NsxNNXOT8g/Fx7WNWXa0rHwXPi
65N4RSVXjcyOMl8dTLR0ELSJfYr00z1EZg3EWGuD/Uwseec6u3Eu2vQz4RWh5sq5uPz8b1lqOyQd
Pr+m5JpCUr4qKoamwlHDnXbjVmbKVYrmGvLgS4V89aJc4MBuGynlhNIwj5huFa4id4YLyT87TkZH
rW3KSucGyq56AlAWH+1qjN+rWJrdlHFClTOb6vxzVBCxhTzLnqNEeuhOIlV2JuRtPGWT43oBzI0K
JFnT5YSgg5/EbcLhmuUWZ0SuRShQy+JLWQzh4zw5ys0Uii9jK+8xfFbwqGVb6KSpS+LOyAsA/nLk
XK4dB4diyc1FZZxTNTTe5b1T3Mi0g87OLIESjHvzT1PKEdQNw+ZWyGJ4rAtKiUYeVXv6Um9XBo+z
GMwxG6Tn6177pEyBKme4bmiSUePyhrduNql7bZNXns/lRkPajhsdYkCIWhBeL986agBlWsNAHx8l
0oOWDKjt1yh9c8/t1VOm5PN7JFTab7MiByUiwxRkoXBMaDTIhX5E7Dc/wOJ1MnC7RjbgExL9VK3Z
OuVVrLtdpts7W3YJ82+e9/XqCaQEaZ1VCjQkcVa0LeWBYSh+6qJoSjeVpRYlzDFpd4LQ27NOp8pH
BxKkA+gKZzU3YaYXkjIxN3Mg7HfdXKexJ1LtuZpk8zkuMtIKYzJ/Xo9Jm+uQZjBKSRDyAIKvMyy0
1e16lFmHTvSMdUl1xFWT6KwiG+qlYMSig5ShQy9xpUq8ZIZlo9EmjbxkxFo6NsxyhxiyNeXcoBek
Ag1Z4KeXSyTXirEbuE25Y9HIx7AaKUJJ5VAX7hCPezSnrQWJLhNGjouJGEF5tQ21yKQu4DDpai5p
T90wTrGribEi23BkoBjnAsR04oN0cIZzSG8297Isxys4Su229tAcGVPfVvUY96E5Gr86aYiVfGpG
AFSA8TrxsZ2zLPYmw4yU8/VvtxG8MOqhBENxBJDlGuCXSSGsjI5nt3pl+NALIc6FPS3ttr4+AShJ
H1R8S2Bvq3qzs1bfHmXECsocryVzJm4V4YUy11QlHAozttbI+KT28+dWZK3wZKmPpQ+tkzb3tQgN
40XGavTT2Cui9q+//sYNlIcAP0d7kvsRZ83lSpmMBM3YXuEh9Dz+NFTCoNoSWphIG892UyMINdtc
FWStPXSz1H8tkSxvUJeexHM1NKMnDIfkLCgjeSfn2ZidBb9AiQxCP1yA1aKKp1JOzTAMvSZU5m/d
ABH82BSq8hD3OPWegP7V4WGMq/4mcCYtvim5XJTP12dnI6AvSB8qvOgVA4xbbaMJGL7TWHFI5VoH
B6kMuT9Ouw3ijc0KsJQPgCgficU6ZuX2NLV2QfQYLCdEGr4SkUeaidOxVJjjzmG9ORgHJxUHmN+A
PS+/d56ZTksvV+Im2mNFVwv7R5tnXwd1VD7/9uRR4FzghIs/Dfi6y5ESK6HZiRCxa+VBhZJ11x8S
GqY7xedX1/jV6WKimAbrCrIInPbVMFYa95PeLaHOgS9al/PwOer6RruJ46L5bmbwVm+sRHX8KVVS
VIQUUbqhFP5bHbquBrmc/rA7hXoa/PU/gZNXqSubcefxj+Fm0xdq7BWTJacff39yqHfgUrIokaBL
cjk5VBUNe8J4zU1HWznErQOgRC71neC2fMz13CB2SXET7B8VgFVmlmYVZY+QUXB8Nr2GiIpmUKM8
a0Vk3ZPH7tlNvTIa1gNSNOMz0AKDhrY66qsokRqSYcnlHpC75VhJX1QV9LQ2N90prEeQpFkw3tMP
TLwwhS3ZAqMDezVoKpDjeL7pBiN3YcBkZ7OxwyM+eypMqlC/KSQNy4I2b+5F2+xJ4G3sc9AgbHXg
KCgirPWX1LkYldIKJLfgssS1tI7P0iRPh9//5nRJOWPoFqHZteQuf7s4RG0tdXg5M8rcGLf1DKvI
Uuo9+5CtDY6WFAU1EBlg11enyhwmsQ6rBNvmInD8ejRLzS0dWB+pkil7fvJbgyG6hGIiYnr4SqwW
2Dgbclank+SWyHTfxygj3iAWFSKqGu55WW59I7Y4EpgEFA6G1T5v0K4Z8oqlNRt26wJUb27SNttz
Ld/IH01cDKC1c79cmjOX3yjBe6TuR6JJv6BTSPXrYzGjbpI3T+MilNHHe/IYb9+L3gzbxX71jABq
fDmi0aALBKA+9EIutG6ij+U7o5X21DzffihECvArA4L0emldxRtFyRUqHJxkfSenR1mygsjNZsU6
KFa0ZwK39UaAD+n2giTnhFkFgU4odSSBrfC4vSGEYEugZatm3oltG1knFTw8EqivstiBvlxOXDLB
2CqCHOXCvpF+1ak5uqOShbczWPVzJ/QYMlhaP8lJKB6HLKruFoOKM+Vm8FMogbkL68tX6u5XMuTO
xxHAxIOuzuJzI+eBs5PqbUw/SDOa8vglLg2O1aZMexyoModlBfiLgrpU0FmxWgQcUgg9366HmbdL
mGqBCrwNAVEuxesYjEIrNRGFCkkDT8HVcjp9k2RmXq7V43L01eHH2B5aY+cVNzLJy3FX7+jg7zcW
BQsZZ7jgYNTaD1Gis8WjIIVoZ8anlJ7oSeizdGNNrfnO6ZMfWeLMiE5KSXHs8a90p2QoflyfDs45
FsLlobRghyAqcUMB+mCv1iOMO1rKzhx7phxV5YdmmiXpWS7nNL2tw8wQH+e8V1Owf6Hyp92wH706
DkzhY+olyg9G2eeOV9eS/JibZWocRdRV3A+00P5Im8/Uz3z41DrFYah+FkCBcyqDIx7ffR+aEpmx
Yxz+N3Nnthw3kqXpF2qkYV9ugdgY3ElJlHTjJokSdjgAx+LA088HZc+0SGWJk3dtVhdVWZZERMCX
c/7zL1FbYDcvyce2Y8qSDGOXFslyEoYl3jKFIqL7POGD4u0YZ9ldDJdLyxhBnVXsBl06NAezb35X
nvQexoi+KlnJHbsHpCrsuMGF79skrVxdDnCmcyqZlgwLoR3tJXzKxUu6meV9VQUgnty12+B2kHYz
xzBClifHL6psH/VWkCepWAmc9k24emCH3ZJAnzSaXbmW8zdtd+zkEKIJsWZd5F1Bbhl87K6GhZrJ
mKt7WCrzd+hh8EqUHrrlystR4sPILUVA8qMoxr05jpRVplTLk0ex8CAsMpcQgTrd0cncAUOpVbpt
MijHXnazOUX3s5Xm1T7rSIlOFJZMeyucAy8JW5pp7Omm1dnJxnY+BV3jPivVVvZOe5N7TsUk0xir
jenYkL+205bZBjEYYU/poYIyiIUa1m+dM7ZP/uDHedE7iZe1hHyNStMK2lSscT87KkqsGpbiwWuK
jOlU0Q8uxILejWLLEuHDnDH7oV/K2vmI6pLAISPPMueY9Xn1gOmr/qgganzUS33vdGNx0ed+b+1D
uJ/fO2Wj05s6+SQwVrxbK2xSk6UYvOdwRtmakGxYdDctE4V6t2mczMQ18Ag/C4fWMaltv2ZAnqbD
O2sagyGuSAL40FR9yr3fBKydoGgjvIsEJgzXQz6Xl8KfPJg+Sx9WcW/l6UxY27zc+5Ywvpi9v8DV
QKXxNORL+K1oe3eNmzDNHp1mm3ovWvVrAsEPxp9bzsHnpQkDuHeRXO9IZjuKeqNGzgPKxL2Z5zVO
1ZjI7EpRNFMShOlgxaz0lORdzxePy1zZdlxNqXU1+76s4kKbw8205NXXsqjnmwpVwNeyX2RxEcyo
HbqKUnBttM/6tCz1KIsis8i2y3MvBo8lLax0cKjGPr8P9p4/2lXcOrLNDr6lTR8TZ7Mo9tjtMkxu
BGLueInGrIndITez3YwO5ourVyOLvWgYlyRdBWMa1l8dZ0juj9rQm0NXsHqP3mSkQ4LgA4HZEsxV
unN12FfHYiym5wZi6OeuU1YJl9kkc0laDTAIQFf7oaqLRu6qTk1dbDCo/DoGpZEmbZP3IxHPbrgm
qkbpdtRMguq4naOm32s/X+rL3OxaGXeRtdYnY/LKbR8uzlPZE08b19biXC6CyfpGFpt+lFbQvLNG
+s14tL15THD2ms84JwQBRnXZnMXFXOffZWTNFTJqQ3z0m1ReERaBP2c0i+izKZvpoyvDiiNiBfCO
QbfmIAZb6+C+0u55iRmN9a1R1dIld9Ae3sHbXD+OG0wx9r6lIEo0MtqMtSq03MM6fDC72WnoCzx1
u1reMkHC9exPwZSJu5xTeyQeLB8fAATW+4g8gIaV59IVEQLsLEcoCtzYwlnc6dyFbt7yynurizOr
iW5JCqi+DWS44WGF+98eV0nXx13SmO/XPve+dlOlbs1Z9lncupP5de4IxmHZzniAFmZnFgChbZuE
fV7+GHvPfFoKE/FX6ar0HjZXXrChPeUn7GIU434bmgRoSRjEO5u5zMMcOsCKFv7oRVLkKjjrdh36
ndu543U1DsLfee7UzZfCGImQMou8epdiIxAeQbncd3gSc+r5hNY+QATPvtKyAaIL4YZf4DKVT/ky
Do+uPen1tImgWkACoM0YRtXwRJy8+Hn81JzqHBR94JNGm2bmyvpwDPFDam95Ip/HKR99Z60+cnhH
4ZXp0iojBmnlt8EXZXYKRtwz4mleEDQPfvU+rLq1Pgi2qb7DMcsbkgWGm31rTU2jDoY9mwWcGKfG
mdxJsyUpNFOQGDZJfeUMor/qWMtXc6pxwDLSbg05alzMzNdmbEzM+4oKaozwA16uHO0v4MGITLGP
Ty9FX6oaBrvdcxMZqP6LKLduhqrnrhoIS7ZO9uILjgpHlLfMq0W/g0kEJyzqpDvEGdhkAXloMwUY
cy+4xpAn9+OhMzXTVWOxZRzVtspizQTpse468cAcFE3P4JcqO2ThYMk96r/s/RyuvX0UsHf6QigU
r2lGphJ7bTF65pkcaXDsxzBvbcbmhmHtJKtvOaU4N9woPyKzKx0b/2uXBTVeEpbd3VotH39vjVl2
8oYMSC1kxaAp0lY3xGvWr/MRVV73UDZWCKnZgbieTAH+9jFKZ9R5E8ma37APLT+sNO7PrhGU5kki
lWfs6M/23eDjKZi47ijtPddS58cN06U8aaIKUp0aPAMay+qt4bGe3fCjHWzfxvC5OGLmFsGdtixm
sdoUUNrxXM7smDhq86pvtTR2rWnI23RxozzJtTeYR3vp5/Q0WlP0cbLDMb8g2UNfY9Ub9nGTVTK6
qRqr3tU2ei6UhxthSHmNe6tnzGgYYrZw81L4bzKxW3P1Y9j3Y4gjlxfWeBINnTig9cyLOMgAPfep
CqvxCoOK6Nnrg/kTKKZbMckSwWMUrgVJHiQpurHTdfUX6sAK64E5UqzoyUUgYXmz82XRsNOTjDrP
SKAqmptXtfYsRFkhR60YI7tFnlHYN74ao1ujGIaHVmTZjb926W2WWcFybhTb1UYkW3H7W/qhb/oo
jfVEYFgSTvAYk2JRy2cKvrCNcTSzMTIzZy4J08rLKW47jXcFpYm6T5fK/lR2ZskphceKuytHP7ip
FN5qkTvOTLMzcze2XfSjUL7xZbSZaZrrknlwHzsnTywuTRGbTdocbLxlp4PjLNbJK/p52Ge2Abml
t3P7EDCb7h58ZWosHwZ7Sh/YH1mb6CEViCU9TqK4TI3w07yUWXVui6KpLivXnaY4zMeluAzqrIen
UpkVYv+sKsqLEoP367GppZW0QTd65CMDmcVkm6T9tTd2ouN+q8t633mb4KUbu2Y42sYyhscAT4r2
rMMC47/SLPr0YAjkc1hl9S6kp3EZ4sgY9XtCSopHmdsRknfmCRUxLYbrxUHa9O9N6ZTUQKs3WRQq
Jaq9biAdY6+9olx24xSVTzCiXDsWkTQ/eHWQvvMkGQ5nsmKzs9SBte68sq0PQxnBAh9YKnd9UCL0
cERYnLDsnItzOI3zdQNMxphKQyWIYWyMzW5ep3yIJx1U4175KtgoaF0EYyZf9akpQ0o0J9Ks68Uz
gqtSm1a9DypVB1eVxDiMmNN1pF7JyD9N5llFD1YdzOFBUhc/T9OQEkmHiqRK+sqzm5M9evCYGxlm
P6agEHw2qpPrCufmG0/Y6/ZwiAy7bA7tb1yX+gObiZhHB4r4vXRmD2ykre9aK8vERWuL/hPWMc0t
3OxS7GsTExuiS0p4C3bNfFK11qSTlGp+348pU3TmAeqKs2SYEg+n5vqqX0cj3a+msPp9O+j2FPgS
uZY7UwXEpJDY66FSC/H1vV+X9k7CSfPYYSOSbrckrxEjqIXqvxWNTnpQON+LSxSgXezO2foBrnx3
48Fcd07ZivFlPESqrO/LGZ3MPjQrfLxSa0J0K6yurmNoDO5y8pC7dPF/pWtfOukIm0d6VFMxVWGX
pMNkdAkTF2Uf/txN/lMjz4g7wA8/2EiYr/ChBS5V09d9yhjRzo6tUarveEyKJG9cRFx/ftbv6C19
a4hMldHDpmba+tpf8ELPERSwzsB1Q/MTZxOmxrMq1I/GsL2YQfNbMvh/IIphfLSxsKAmbaTYV1CU
Q9hI2boANy4ZJFtv1XA1GWs0xGGln0VWz+98r+HQserufWmE7S2eV+5+9Owp7sRa1FzreCTEJJzq
Y7kGjJP//Iv8E7SBT8AGoMJjw4Th5S8CKdKUOMxAEE75lHrKaAEjXbTJOoXG3dDCchgbubzxzrd3
+go/oI+HOYXlA3Og11L2IOU+Yg3zVEeOl4a25hBXiyLaFTJaDyrwQbVDZ1zJ0dDlGyjX788GQduY
odhxOJuP7stvjEmkKMOGZ/drsZxlOYcnNdXqk7KbLxSe4k7XtOPKMN4SNfzDTJsnkxW2SWfgb73O
ai6rKsKxdWb1LQix3WJ4HjMXEGPJYASGlmDDhx6Tldn8io6uP2fmpM5Vq8V339f/zsVgI3oEG9cH
B0EQTGY9r+BLneOEI2ePQsaYxzP9Tn12TEHKHqBnFjdL9ZFh+Fv2Tb/vP6ivMHAYzUJMRVb28rc3
eouQaoxL4AAXzhkRC53BSvEjvTy74v+ojn9e3f+w//i9MS1kHA1TApTl1QPNfNRdCxVSGVIe5FBU
+9QVVbJqakzuNF+Q3KZdbsqQ/tulIenoaaByZg+R2TWHFZLumWAduEluHmXJjLnRWwSLf/hRuAZZ
GJBPQP1fc/rmYgrJm9ApRUjrx3MJQG7Kq6xwDmZnPf/5B9ne6suNB/0alS7UQXiEuNm//D1mw6xq
3ZBNE0xSXkUy6I0TbmyRv3cyFP7JELnp00h8eQp4ZGLHRmxX85Yl3Cv14bb2eCNbai3QIWrS11al
m3Ggn26UEltgT3CW9uqHSZ/l7mNt9fOD0XXWZy2mtdo1XDvubnFsCiu0FeEzXseRfOMM/AecFVtL
6E4mthqQmX+aHPxyLeROaLQ/JQtT0dv7rkIPvG4FRruW4X2dyc3GBHO4VHZhXHTrsqtGpzt0o5hO
fVFMnybwv/2IhdTuz2/r95WxfS5GTpCgULS85lj3to6cZWBlFFVd7fQKpSHIF7RQaWicqrV7i2/4
+9EIpZU5A4oR6K0MU1+ujsGYTIxUUmblzRw+LYyn4pzsiJLqYWsJ0oXquiiBF7fo1fmNt7D98ZdL
k2/IQcRUhWOSQdvLh/tjUTitWKC2zgsGwl07JwMt2v5f/6SsPDbBZijrh78x63y/WK2Napih+n5X
QqG+6+3VOpBloC7Cyic4+c8P/L284X5jAMZGgaFMCfDya5XgEobhccGOXZ/eerUZYtHaYEE+QDL7
148KmLFtAdScrgSBvHzUVNu9NbgobyDWrrt1UMVew5aJ107otw7W3w8SnsBiob5lJs0Xe/msNEBr
NmUmJYPOSDoZm/YJIQ9a/NVrwutsSoniEsasrurIME9YLf6wpxy5cZ+bSTsAGI+BlGe3h1TZjca6
B6IRB390WyQZZYCtH7zXNz7zP7yJTTmJRTLXPuKIbfX/ssvJkoH7mbKbAKuK70yMpktLztYhN9f1
4s9v4vcThWE07xpTN446vFFevwr0cWUVNlnCcNqsb/uxVOFukJ1+LhDSK+RpU/Wp8WEfnQvtpkyR
7DybvnR2Vg77fu27OglrWGA7h5GFfd9igBu9UQf9JES82HCb4TmHMP07ehHYty9/D2cwlajMNUtW
xoHLU5rr1Epm5BtRUgFXEztvTEt19K0mm7dct2h5D4FIQREuA7HDZdLU+Jj7PaMKjvhD13YSlV/b
jbgfVRLyOJMf4yatBrs/TGU3zHHnityObQRJbaxH0czn2nP667HOVbkfyBjeq9TM9IUxCpOZg1Hq
5UZpe7Tf2Cg/r7lXXx1x0Dbz5hfAfeTVWSNETbsqBTUgReZxNjpDY5kRlp/BHhx8CQgyK/YAhkG5
Kxe3ag/cqbPEut1brhH26OWqy6UxxXL2g0c1Epb5mThF/ejkxfItCArQwiJyV5n4A68+pvoaPxe1
tIEYJnep9oXOM8U0Mc/+LQkGwJIGB5MapBAuTvIv32mXigpvaCdLDJNGL+q9IGn7ZX6DC/l7WQVn
gG4Nd4pNBM4B9/Ix/FJhbokBIugoSEWvx0gfVbOoDLcTtz/ma2is75deNGDbeVOf+rBQY4KFjcRs
kIlmkmHCZ+zIcUeJDdIh7P0U6uKtrPPfrpRN9AZBljmljYfxa7KOD7ZNkhkUDSY3+piOivEW7eYb
V8o/PWVLGcOlk5oGXtbLHwNMxCvYrIBIWZACgkMYSKa1yNs3Vu32o75ctLBCsLBBD03vwC//8jkG
/9xWtZ8nc9tmO0zerViAlJD5MDTyWKTav5x6y4GErF117gkcfCuE9rf6AEsgfk8k2ZCf8MR4tbpm
s5mcbuUTuLY0Dso1ZRygNLtiOptOQHiD3ruGFR1t5oJ3fz5RfyuFeDQ2HBZdG4xYZvAvv7xm1D6a
ucE8de7WBAMUdZ13Ujxw6Fj3WpR18ufn/cNL3XriYJNPYXHwOvRIsMuh0wK2DG1pXujKfV7Q2L/x
Rn8y6V6+0k20TSe0aTO3ivzltxL05UO1TEWS+7X3VIY96vIs2pD9nqoh2xeKjMedMjLUNgx+m2m/
Ih1dWphgM9gSBAzpTLcyV+M3w7WqIXYZIF4GoyvHE5OF6gk2if4qjGzkHJAKVF3Z8/oAf82+qYJg
CA7YUAcE/q0YUOO8GgafdWtFxn4sy8ndrewpn81jzAKlk6pB27xAjrdyafFYqCBEMuNvDOMxhwMo
vuMM300nVDN+eqhn7UR75rACFS8sYdwHDUgBu8Gth3UP8Fy7u6hMU/fARa+HGOqV/2STtpTu+ra1
7+lJZvlO0hUvl9ouV1jmehq6PbRrTZuidGXFTTvUTUzmpfq4QseycDhuPWLYsgyBae6D2x+HciW5
vVwdeWsQJDLspkUxqVJslvsUopUTI9tuv0XIX8Qps5HCfGoZNV94QTvkMW3g2v99Wvwrw5P/aGPy
wvrkj7Yo/xsNTzbZ3382PLnJvz9/76svzfP3FzYp27/1t+dJ8NdG3cbsA8oW3F0mLf/X88T5Cy9k
j8whdAgYXHOW/z/PE8/5i1VoUmJgq87hsKEu/+154pl/cUdx3lrO1jyR9PhvPE9s/tCv5y80Rvg/
G5pAWjJ/7rUkwQpXpZeyjwB3O+Md4jZw3mEwlzKeRad2QTn4rEZX4bwXZBm0HLOo90gw0QPONsoF
U4/7rJjtc4gV2Ke10M0TXvrVnEBOC6vD2mTMw9M2Eu9cZ+wvotackmYJ3sLeXl0j29dAwbB1WQS3
c/q8akjw+w4JbujDOCxW59A60zByK0LFd9JB7BQM1wep3ew0G8SLo3J6S+z1U5/7y6H39wcg9hQG
EQZLKDxeHnqL28m6n5cwpvwsYOOb5fUw56juhw4ajRDOmMUqncS5LWlzQbwB5VPjEeq6umjaZT+t
fZA40XriUzL5prS8ZbShjnPfRccWhv0FIb2Wu5eK0JWsaY33EKoxg0Ez/qmgBnCvXVzSsHQKyvXg
zYM4//1T12/Gmr9WnG1fFZcWtHEBxDxGaCzbX1uOJg3MKSg7EY952T6UEHmpZ01PHda1jfwDSjJi
HMKoYFynw3BKRiwA6qR0hZNUYZQ9RdNcfQl6wUjS5DxVZH2lkDzi1Bs9g9F8wYr7ZU/e/f0afnX2
AQv/bZlvBR2tHT08+/B1bTw7LjkTSM7iYeyqG8vS31GirXuDL7iP7HK6RIUlzkOkH22N+WFQz2Y8
pIP3damnGhmkRgwtyefcWTrrjqIPqvYmL6Px0sVK5v2a5eG3VLXLsJdQCZZk6UG+3bWBt02A23nJ
nfHg+I15Fy7yUIjGpbAsuoNRQ4xqWuUcdV52Xwnn7a9JG+qfSttZfjAOMh46q67OQR6NByFa+6Y1
FLwc6Rr7YNJlgg2zumy1Cm5D7si9HOfmMfCm6BlV63ssmtcPktHak8ya5oMRVP5utDBm9tOqu8xT
Fe3F2C13zBOrhZJW0sKVtT7Xa+HftEurSLVrmtve7gj/EJPz5PS2uPIQyCdRVD4E06puKJfncicD
fA9KUqwfHccoyl1miIsOa7cmXvljSGYIZAgC4wrtznCRqjW/0YW6xdHloHtvZZiZYk9nfrLbbZ5c
bDkjBUSaNGaCMezxazbvLRCiJtbNBOuFqfyuZkB4nXI17vyJ5ps5Hnvbx6sLpo+Eh1K2T+FiRIfJ
n4a7LqATK83x3JWddeh1/aY9yOvjB9CRosMhRQnOJtvj1fHTwn7Q0gPmUeE097Gv2yghaHbqjnbb
9j9GbZt4llrGlpmw3M5m2V8vfvA0GLaBj2E59QiEO6bsO8udip3vpAyPI5mfMJ2j8AxqYipRE74l
Hd0KsV/PrM1PATNlwEEGuhhpbWOUX7CDJpycIJDIy+rWMHdF64TQelbNob5EJ80KCup8+m6JaYaD
Yjl7M13ULqpy8enP23N7zuvP4VIp0jFGZBC8PjuhUctsxUc5mfTUvYty3m8BFLPLxsU62H3nv3Nb
6y3++2/HGOgAMDrqAxMdMkDpqzIVHCi1cTVAjrrY2bTPprn76ELW+oafhTPGPj7189Er1uZ9Wcro
yBC6ZhKqx1F8mrrFjQdq2k/dqNSVgdsUJDIMk/xO70qzztY3DjA0sq9/IyD0nyAi8RDkFL02I+hn
osHIIAS7jKYm8cbglg//NVu29L/SDgSRMiEs5Q5qXpt78oib+uWUEY+S6CrMEuiqyAob+0vruvIO
e9v+prSXYO/DADgaXmXtZuL9vjaOccoNmZ+ZNPfMLpsnZyEkyrU6i9GlEo/4D9cXflebR+Tz73sj
nS2ABYHPEp7wO5G24WMvsmiHpBcWH0IoKDwI4G9Ck/8BS9S3Y4s5/TFKq6tNlhobbh3EegkXAL1p
fFKYo4FRZNEdet407sFMRJwKPzysgDqf8wiChQSYPBay6PeKKMwDzQR0wzSU3sGYO/9RLdI8GV0m
jmijiX2ARrmPzIabucvcT142e4BDWInGa2H5H6GtrFXcwRKkzSjnKwp/10gCn15ztvs7j9jN+8Fo
pmc3za0Dx1l5Q5JAKnbCndZznY16jYvWDnapBG4JsLG6zjz7XqpiPuJP0n70RSdhKaXejafG/M4o
HBvOKXnYBcXfhS4qsdcS4o6WoIY2ni1n5ffrGZ76dKydKL2t2wmwmmjqFgLKLE34ipATT/jluV8V
wh2MEXy4U8aYOnsPdwR5GJ02h8zqzHFP1HCyuIY6aVwq9mFe5mLXNH37xUpluxucIYGlVlzUaT7e
LDnZ4WGO7qYYwovQz8lqEN5HGzfjS6fLPuAOxXCjj+xYTfl1uCmWu9oGfZgbdVMZnrxySbY6lt4a
fa25bY6N34USRhKZUjudApM408h79mR4PYT9+3WpxLWSA25yE/DcVDbVdTCBrgir9Y4qMO9MZXyG
7qcflh76t1EoMcftNNn4lFX+Xglkjhb8KxSSLa6+4mNaOvJ+nv3wFsy7gwJXru9Ft1gfKKPtC8l4
7tJMywsoiOHRYkCZZGG5vKu7jewDz+1hWHR5qRHaJW3hP2EuVSW+4c53vd8ud1Nk5GcDtuFprSln
MWc+imqak3YcwmA3hSNmR9NYW0zgQ0hsFWP4Im/mXQrH+TPvcH4k1AzaT5WfI4DHu2nKvSuvVvLM
NRd8xDHYjQvblwffr8WuTgkARO/xHRMzgxTwUQdJpJ0piGHf2Oe1i9ShzrRI/EIgZ+uy7zDb7CYu
6iA/6NLTfBjrnWgWqFjp2l2PJtXpoQfiuB/YMPeztZZfG5leo9fdQiN6+Y1azMyTKdpWUOiHZ8et
7QdsW/tkxcHzA6KaxwL66RlqnMnw3qmtxPZYyGtOAgpuPLj/1JBNThUv4KYxMveLxaH/ZPhDfZKc
PfAF1/a2Vbb8SKma7YmYWa6Uk5ZUxqURFEe/0FU8zNXc7BuVZ/PBI4Q8jYfCIgenjDLxEXjAP5RF
kX/v4d/VuyGrm+scKAGKoDtfVKltH1lj3VeEc99geoewNe0Qy5hlSaos8o9WmS6XAVToy7zK11tl
995l4GkzDoP1ycn9H5Idfyh8deRqjA6piYuIhYerXY11Ukc6wgnR8o8jCtkvU+7DrKvsxGx1f6Ka
KYMPQZR1eTxFTUSBtubzBwy+OmenI6+C3om1/iE3yuF27mT6bSnluEeVB91UzaWEtDyteHR0sMk9
JRADDOIUFQsBdJQCN1nGIJgfajZu5m5qHjOMiDkWWpUfK2oH6msTfe0Kzwaifo0IdciJ9Fv012VM
w0towc019NQS/moVFvth0tVz7rdlAle7fgqbVMdz77tfR7GMj9locPAv7p4U6vBLNLnzNSKY/sSG
tm7KqI32SFB5M5MXGJgjh23jnyfdEF5dBpsIukGRg52l7sUR4nOZwvl05aelW0ZnBwuxP1ucY8iX
XdtgB2x7v21bzIirXJ9MwWghr6DF7VvPEsAtAEoExujG1u9zWB+HzUF9gLw/AtUPaMCe53GV1u1U
KPi+P5+ElYF/nTpO6sZi2wYLEdTnGm2/F4+jhQ8L18hs38Ow9+XzGDE6l3ziG7xgABql61RTjOfM
ekWhDl2MvbZXagh35upxATMbzY9tM+q7GXA4TDpf5sdCr9ZNELbhbu1N56LwOHzH2se+fdYWac2B
tDmIBdGO+xYvq/ageu06hxmd2LwzK2qUS/yNKtYrTMg9BWJ+nPMmP2riHq64x6MPPByWHgbORfFV
6CZ17ly/s8cEzvBSUgVbaGjyXhA+k1phO8YSC8/nqTVnKhll3bRF3p9+ftRyk0ni5JQfF3u23rUA
Rie8Qa2bGsXGyepT68Y0+dciWFEOzVsfYrLNVSW4Za6sulF+LLdvn+s52tduuTz00YKQJLSlfC9X
fPhiO10ogRw56bvB49cyhsCfHrRRWzcZRAm4eqnlfik6ydKwNOmDEBY9YR0KGkoFWWDOj0psf8hE
pXBSuo+uPE+lu9VxCAAVcJOtCRXolu3VforGHm/HXobtg91GQZdYVTqEScTY+9TIzL0Y85EvwiyU
t6HaArzMNgJ/5r+3teB1SiNB9K7vqp6OaKyMOd0v2dyfiCjybiV1It4MVlRnXJyRvKw0pnO7wDOi
DxGZ1SfMKYo1bntbPbsyiD6QjA2zjOAyy6ei0N6XCtj1yYomtcTS0ro9tNKd7lBciB9MFIprN5Lh
wbPR0ks0QPGYaTwO6nPbi65PsMiM7hosSvaNF3i7OXDxNiz9oTpEOVCqmpblQJbgvdmv7pcKq75r
b+kvZqOx9grXovuog9CYGut8k43ZBFKKXx2gYyDeOVXZg2wX3jeZDZYTz3RTZ6eqllPUV+Vt4KBp
GrERv14jE24yPF0GaE5/nisr389krtCpqSjauVQShzAQwVdLdeR0O7gvnjpVtZfWsNi7QOTVs2K0
xvVxLGFfFFfOElKptGN9wpGi+dEsUl/XYjDftVk2lknG5G6NmTFZ+aHp2vHTOpClMziQFONZWtwg
AsU4AuEOldTqNAtjdecEqoKSzw5a1UOHXKuTP2Ri4QZ18ku745oOBmldQP+N8OlurZ5f2xIM9Vo0
LScT9shlqQz93WWmsyNq27roHVOfrWKyHgoGuqii6fxPErOpa7dkZycERHwQtvtEjfmINvK+z5CA
Gx22aGoxrSOM/gfXCabYc5YD4E//NZWOTIZAejHi0fS2ZYoNB7Q27o15oUoP8/6I4uw+m80oiTJ6
ScP3lr1yxMizuOgH7C9uYSyOl1IW8lbV8ElBEcLPTtbYd/j1ysScS+e2SEOMW/oaFrmXM1dZiKdX
VSlufOJd7rGzKd5PhoPrjumeHBXKG6cZvxiTkB96VGF+YhAnhMopz3fVMuSnSKgPcET8T6M2okS5
af/c525OhmaoWAdD38WrD9PN7kMXCm97WMPc5c4chvsha0wVszOBCOFsHWHxu7x95zlvvPeRvVyj
mJU4aPT7/8plKueCkOLYU+ENzUu6l7PLTHEI3zeUnfli3polTsiNpmNzrP6r8ocHDOO/2aX1BNre
ojRoH3oxPpZG8S7LFpJX8i92Zr7/2av+K6T7naz5z2u37hcw9/8fGH78LjffbPX6T/0vxMG39vg/
w+Dx9yp9Zfu9/Qt/I+D+ZtK98UV+ot820Nzfnt82vt7YEtHNYvaDae+GP/y357dn/QVDHD6rR1DI
Fgz7P/i3i4d4RFAQXAQbR0zAyH+Df7+GHsAAwAS34CxGMTgCvYJtTZeSs6s3mrG3mHuBcQel9tNY
uZdi6oeDvb6VQfsTVvgV7Pj5RB9S0BajgR7p1RP/Z6GPnf3etcovOWu1YM0q1q4djfdc3kQ0zM5T
xOo2nf6BoSswZMdOMpxDP3rfM8+7KgfciDv1UTpM3tW2X1w2zi/v8B9gU4YTr1GHzeoGasnfgVek
p7xEiMaF1tsUSB37dF4Tp650rNAg/R/2zmtJbuTc1k+EHTAJd1sAyrRvtqG5QbBp4IEEEjaf/nxo
7dhnSM0Zxtb10YVCCokDVhWA/M1a37rLkQ0OOCas9uiJvDyT/mo/D6LSj1WBqyAfllOpWZZ3ZL/V
KPIPBP2xYJ0HBvJkQOA/s2kZnfyzW7Ryt+ls8PV650swhY+DIInTo9/jrUmjE9xnRTAmfeUc1bKK
wzD6TjJP2fzStosTuz7Eqi4tzoxNSkYH2fa22uPdOgv/YDQaspdhDbFjtRzypElkvOQ/2IMU0TTg
JdWhKg8o0rKbhcIgNhF+RIPffWkQS8RI9Sx4gDk4kBbKRJy7pfXYo917pJ33jiFGhWNIm32edJAd
eu2LqJ7MJDTGOx850zFteqxmbbk5P9LKqH6oTpTHKWNMMNpM2VzCrU1M71HgF08KZ+CRZuZjPorw
wtzqEwEFT64aDl1mjSy/6+qqEkWJe9CsTn6v9c2OKrqUS/pq7Xtqcw3XA5sXcTDDDFcZ6XynaSjI
AOx6rLWzcRXO/Uu2NeYHPcslYS/QJpYxG7cVs/c3/CTlKd2cE79feEZHPt1nJnPfmmDB26IRlyYv
vy+F0TzUYVrcuK05WXGLqPZUFGXH2DivTiVTBya9EJxwUrkXN0wDPEJw6K6DrfYPRa3zp95u7aRL
OaT7nC6kNARZ42mOKC448ASKFwDJp3Krwkuo7a8t2cix1VkasxYGVW0TnWTVzoOriyGZRt3GezbH
ocgJsXYNSUNSdX3SSan5T+4YIxmTt6yikfQE6U+iz7PvGRWZ2gi5Jsqs2VfU+XiWXtM96rQp6bqt
lXOXO7QMrC7uaTIpp0UZD4BKjvAZvrW+5lgJjNclr517RxXVjc4txZzXcK5zK/vqI/j91OOmeaqI
/oly1v8Vqw2CeiX9yO0AgiZhYagR0JT5ErW+bK+GVN4RRi2/9Gvqn0tYC7uftolxhVQXo5BtbGxW
xaGO2WuQ3n1eWs7zWPglX47bXBpcvBGagfIuTUcG8eyw33xynxOjx9RtUtYfxZo/dG49Jr4LjLIk
KObMuy97wfL2Ab95yQOa1cdhpHvv0jO9d0hlNCwx2jsVp4NEYZzl52Fo1iToYa7Xwq7u3Ik5jd2K
7g79qv5MlsnyeQKB9Fhv+D+WIcfRumHcPNkFsys/fFStmq6xDw+HxmUlgG9TTIeUwWW9TzBhu9uQ
Khlr1qt77xHXGElqA3MvElKqhWLxXwTVg3CUuAnbxT+pvbRwK1PTO+4Fx9ywYwJXfnT2YsTcy5Jl
8TGEsGBVidrLlgrp9HfC7cIoG4T3OaW6afYyZ8vbAi8opY96r4KyhYJIUBlpu5F3VsXYxx+8j0zv
AFplnnpUzpTedcrKbnkFAf+Zse2BHm0ThUzvvt3LsaHb7IdAr8GXzWjLU8G9+ih7KW9k0dYPdgm2
3O9oFtK90LOLqormgjLbTuXXcmnUiTJv/JnmPSamvWJ0BXkQAmUDgu2xI704/7Ltqv6GUnPca85c
ueK6cZkRTYZ5P2bLs0GBurpYnN5L1iWV2W1V9/m5ei9piZmwPqi9zsXgZF3cvfbFRbX+sPZ62OIB
Psv3Itl/L5hb2VA8z2VmXRq/506cJyD672U2fJr67LwX36qZd6QGJTkAwe3UA7+0cX3sJXu39VTv
vWvmnAKAbbu9uvffC/06nTCR9+8NQLv3At3eFbj+0P4kqKU569Fm/2ClfnnjZ9ZppKEI9s7C3nuM
gjHj9U59P6+hqIhx2LsRmFLd0TGYd87vzQraiiJp9g4mcwcramuPtLwuc2+DvdNJ955H7N1Ptgrj
kqWO6Ryyyf6mi6JfEzeY0mflT0zB39sotCLLXbr3VuPeZWXlZCXc1hcEuiXgPgVLxwTxcDTMTsd0
dOTDeUxmk2Zv4pq9nRv3xq577/EUG76pXFgE0v41uesdnL0lpOsvb6u9TcS0Oj+wL13Co9XS8/DU
HE30pTN3/bIcbAbX2aGrJopgm7njzZQSzGeo8LXbO1qDM/7rOPvdtT2JhTrZ0NO1neOZupOTJ09L
TZaW37FnjPW+7JRw49+MTZn4qEmNX8X8ZPdtekXXMl1nYOcTWZQ6keH0I2+ymt0v+zTPR3Oq6uWK
MOkqKZ1qfFC2CI/KbT4O+0ZufV/OwQDIz1vRmsxbaerafYtXm2YWk2Ti8ZrYl3w4As3Hbt/8Ve9L
wGrfBzrvq0H++2f3ndZg6mhifRg2/X2+7xOrZRkvc5XeBPuukcqgPMj3BWQ9c0iiwq7AKLOflPum
0nhfWjJ0Zn/JIhM60BrxQKQ3xMez5aTuiOS++XSDHizu5J6buRryqByXLU9Gw6QPZB1DNpdjXSph
pT8nH2EwUunu2lA5MxQhB1iG5c9CBfDFXK+77q06fC0UNymvbBK+SWZnTDlcmSVJmx8KEzdfFGTm
eEW6cMCqcMcwpw4R2XWrBIv1vIy18tZbsbM1bO+nTT4ok+ZOh0e8Dw+buwfw1pby49HMboccU2JQ
AzNT3jyzZi63A10rp5p0BUeS594tJGyh+DfkJw3p8dzrrjsrgFDXzJSHmwyT+sfMKLAtyaCPKo6/
a3hHI7rmcFohyA7lVbsa8k2wDbxeKk/9MFYEqOCYsy6xWabfLgjrT46bDx+EtzyOwOqZn2RP5K60
FzRZS6R3IC15cTPgCSzi7gIOxKns8cwspk0m3FRwKbryurMM5z5Y9jSK0RE3qFnUVRtu40m7/kOR
Wgh7V8D/5Ar+cAWOYNfA8eznLSMBpzhOE2OkbKzDqIURkcBA6GLwA1u0zH17nkt849Zaf6xmt7jJ
RfpBt4P/vDSuini9tFditr+33dJdKRwynts4r5LV2GM263Odc9nOpB3OmI/oAeHiDAKhQqPKmVY+
+sYskoKVwOMUTIqDTQfBHSdp+TpPHJ4Mvjvejn1/PfolfIElu2nRTPxIHSVvGXnZr0WRhR8DksSp
FLYw0tlCYqEsW+8hB8rysDgbiHg06XmsPebO6HYBkbRFKa9hLapDV5SfUFlQPNrE5DoBc2nbYe9n
bRkFoVHj2x27h9RqnoUyVGRbrckSunRPzuRe4cUtnirp3fa1qiOwwcnoG/UNBuJPpcrxynthfQH/
Ph87woeiEHOxK/0n3nRFxAYiTFyfk4zYoZ9yQLZPl/cd8/JXxjzPWycfGfH4t3UVfJMenuvFy587
xvsHK7Nvq6B5lhTZV02Rf6rFOnoRfzMg3qAyzCUoIlgKVJMNN9+iVHasGO5cyiLtI9eCzlDX7nQu
0tE9NtvWxF1pV5HfA8tidfc0dG1wJMurxCy8epHJjrItxAO/JKyAbbiVBPB9kJDooq3hBBUTpC3R
pd8NrygY0q86mik3twBTcrXlKnHNjBAhDrBDCdwmzhzQcDn+72dPVPlN5aXGyUX8mDEKdJnrX0yl
mtvarZsL2zB10GgzALw2gmI0sB/MAnM6Li1xXPCIRLYez0BHl2Mp8f/WWeN+WFb53UGbc8BhpGib
/Gg08bCssEiixXOu5no079AnLIe20U7iZ/4XH8XIeR2K9V40xVW51OMxKwN93UrBqqA1hvxmq924
XQQNlxrcqKqRMG++9Vh3VRx00Ct8YYgbybrlIS8Y8Fmjvdtn6/FKrf4UkNhZdx9HZZhRW2gMzWvw
PRy7j7pu38xeL7HT0+AcAOOwYbDN+S2DEoTi0qmf7DGbukMd2Nyoq8u0llnzdNkmWCGgesh2JKQe
0gTCsUPrZtN56kM878Z5I1UOZzPS0WnnQUhuPVpMnY4/s8p0E7K9eB0TXgX+aHQ5E2djiwdlfu7V
T2gT6wUaOFwbWayfl2UO79lDh9+MSut4HLol6qiQDqGqCdayspVdWtecCld8QKUM6U06j0MVvrWD
+VSPTExFx9NQaNrIcfOfihxyPaJY69PaesWppyVfG+9lDNmDLm7xhcSc7c7c33R+WNck0eFhgbcy
JQ045WbnyDUAHq0KF1tjAWOXwAJsv41Du/uuJt08VRlbYtW65klk1X3NwxdzssAZGdzqsjRTesCL
8lT3U3jF3+mzt73WW7YdW6u7p1m3Pwz+elq8utWHZt0+uAh3jkHpq88sn+mSg4zVFqSPkzluFkkU
e6uJZx6nlMUuXtMv8febjzBS+JoCHljELWVsF+POS+YDJENWXkl8/UduoMTLy+oUsukMzPVmsevy
qOjDIz/9EG5VdbuA+0Rum21MA0gt9+uzyEZ+dPYMN0SoMEg0d0cx70WNXe4JFqXxSs093cwYOy5N
26Tf/HfKT1BPuDxdQDqV+jhU05XPZPsgu3yLgH6AfaI/jw13kVelx6o+Eo40X1QxS/a3pnGrmW9c
xtlSR39gOFvTy/6AJSO/aWcoj0PZb/8Sc/z/EeKfsgP3IJ//9wzxonYZ7S8q2v0P/GuGaFgEBBKf
xubJxvaPz+V/xoj0MP+F4Jz4bAIzsCVZAoX/f88RPf+/COURiJwI3PN8dP7/o6P1nP/a5SaAdE3E
P3vI1n8+R3QZYwqbf+2Z35AThcu88q9Sqm3YXDOdujmhobsfuo4VUtmvpz5YUUxtmjrOZLP1l6/n
b8Zzv7oH9mvuuUs2Qo8QLb/5LnD6i3xr8tycJFepEmru4uu8rO3RWqzHFs3lw7yw6/zny/0qofzX
5QQiLcw4qHz4GX79iKM5pl3lMExqMUadKGUlkzPcrJSwXvwfXIoEMvTSXA13xK+XSqcaJpZVUaZY
hrkyOdiRJtMGbhEyfZX888V+1e799+cKHRery54E+/vXqJqB3sfqVNI5A5NNZ5hORVU7X/qyap5G
A03MUNuSNsubhluBHvsP1/+7n9G1fM8kvsdhrP3brTObZuqttTHAkw2aa7n7eYJqwH+ipxLgmOH8
4Xf82+t5qMoJjGb4/fvnDdOFCgcuXcKLr/8Q6L6/9RCWXFNcBddhbfxHl8Ofbdrobh3nN4NPj41q
ccmtSaRv+DHFWx+PsrOZ9wbueQmD+vzPP+fffTxE2CaKe+isjrf/7395KtTGcGU32yZbsHpHtFHW
g7nU4W1jZ/09knX5h8/3+2MB/sKE8IH4gjcQySu//Xw1owEtqnVI2lKLB/hQHHM7zKyG1/YHneRv
FnO2Jb9d6zerUgjdsWydntkngK1LhUGVPppZKnKB9mBk2XQHXBJEU7c+BmDE7iQD85uUhbn9H3xo
bljWOozkGGr89i5Yyo3pKel/yRY2bbz5BqkjYV5cz1O/vP3z77nfH/93X/L+meEt44TgpY9S9Xfz
H6JRmbk67xM33zFvBfk5rrbWp3HraOrUuHzL+INNkmf0fv986d/fDMSV4LDDTMl9i/ZS/LaqycQ4
GakR5Em1VMGh4/aOxtRnKo6W2UmakDRywJxOYtSz+iTHejr9L69v4gmxSI5BpYcy9n0785dbWVpV
2G991iTNa5EYd8KOpk9M9bdYP/3zhf7tO7bwcPM6cGyXVRuR978+MwiZHFSfMDNFPRfXOHTNM4yI
9SbIs4qQVBQ2MDcvGSzDP7z7/uYb5rD0OKMJyOEw3h+uv3xC9myt1YOMSua6Hc5cBGQosNIrpEK0
fAGxSzOO1BN6J0zDWdr/4V3x75e3KQywe3OkcYj+HqvXh1WIxUuho4B4diRAHtFK2ovIkSO6Srsm
rTpwNpdw3XEMzh3lxZ8oDf/+zQt04xbiXoHNBznyr1+AqluwkmMvkxX/Derx8nshAJj2Xt6eLFI1
4x4p2XGxzP9duBm/trVfmJCV3f1osgP99cKymOhK2ZQkXmk1R+JxwqQy6vakmdreMc8UL+s2fwhy
KE//fK/tn+iX55kLc0Gy7qjITM73Xy9sbuQNgw0FoFcGKjZW0lnNoFERnCJUogCyqNz1n7Jw/uZr
DshwC4nDsTj0fucqLx6kNkT2XdL2+64vD92j8uz5wkTbj1ZlW9AZVfDUhm7xhzv8369M/RlQHRJ3
jZf2d8+8w/5hVebSJA4rj5g9YPc5M6tXuQnnHEzCuWhL3dYZKc3//DX/fgwiaYeuw+/qOojFsaD9
+jUvdm/UHUdC4vYYi8qF9AAUZA6rOOfRykLj8s+X+y15bL+fOGx3GxsHgvDwYf16PYzjdtiXyoix
LGqkkQUaKTsfQYdBnjsH+1AxNfyMMcpc5jeZDotb3zCct3EKhqRH73fAQ44ubZHq2RDDfIbstvzh
t+Dt/etCe3/JQSJGjr+XPxR8/8ZoCtJ+zFBwxqm/tk1kuvOgv1jgs+qfohqb/o6OsV1vGkhC5nU2
FqWTQFXT3ml2c6c+Sb3Y5WldcLg9qYKhn3vQGVt+NsepXXyhOzXNOzx9wnpK86kJGSsrCW6t71zI
QGubqzMJIa37ZbbZjZ8RI+sqhgY4GOOh7MzMTBq/TvVVkLNrP0+OZRKOZks1Ho2yrps7Z3GCrwrq
pvcxHVWe3QIqHSR7DAedb5UR64aUYBzfzNXb7Csjz+ZXvSkbOoUxAIZtueuKyLR73LLOumutVoef
pLGrSiSrw1IP2HGXPvRMnrOo6ajTjm1obebzFCziRyU7EHYsED9BkmuHKCA4zI2mOcxe6FXQDkOx
DOKO9TLgG0jF7YPOiQ68GHkfmrGsG2/mTSuNm57nEa7f2KivoZgdMlNdFANNyAl/6bNyX3/qmSQI
7efbJ5KmzMehxxDCCMJNvxAY189X2WCsqFzXwb9bA8g+8UJb0jCbS6FQVWEqAQ6vOWDzXGAviWHU
sjkxZ/6/hMHYO/kQU1akiLn4uoParET4xvgaTIj+iMIixDcyxiFbL6Uq169r0M53U4do8LgYYzrf
z/O6E24nmU9HCMaWEW2WRE1GCW+A1EPYbWl4nTn/PPhyTFjuWp13PwHijO0JpVToXsC1jFPE5y7A
kkG3Q7wbFESQpINub/BW5yhPc1P2V3lmIhSAgG6cBtcds6OlDYAurc1aHpflxoRuQI9w5xOQLSIP
MWQRo2qzyiQM5mGG/ccEiXV7HtjHxVv96qpg82tFOTueI+evgxWB+go2UtOsrCe2vKsSU23LNQyP
iUSqvszGi0d6N1Y+q2e5V1NhTpfQYsJ2tDeZ/ghDY7lj5U1ENGHMw5JAlc3CqPL1/OzIYUsPBYj3
PG4WQj5gohlpE6fe3H2sK2EX7LVHq41zXiztURDg8Oy0WcHPMIzALDaVjkdHF2P3wZ5Ko473+WP5
aC6OSmy3Wptrc9NFc2rYAAf3Y6eD+eLQzt0tC2hmFi+ueFo9BzBW3oGGSszNTIMnObbDjdTYNZIw
9zuusJs347Gc2fFZzYYXvc0LB2TPZkFcbaeyO02uSB8EKtHmzGGO6qGWSIEjs1c9NWkjYYi2nEDQ
7VbGwQjFzfLFUmH6ytGCWFrnJjR/J0zDh2lNGVh6iNnBttbw7iNP2hOU4Wzr3nCEclxQlaKN8Jdw
QwVplv38kFtpaT7aOV7WhHlD/SjszDNOTmfKo42xv0nqYuhGvg5zCh826fXhAz1I2EdoxB15u/j+
+tRJ26quwsacborByofE3qr224rqAzDROs1p7AZdemmLFdHFSvVURmFhsW2FU8rYl7RzC+e5C90G
9jDweTQgzbQlTVe7CJ77hQwZNnnZ93K0TZ1kOrBvjVp0YVzoMD/PZACGh1EHbKeHMkpRbD/kOfLN
iLCvHBg5cqBD3gh/jMwamEYEscQa9kWUlx/IJ29nmCtyBIrbs3e+n6RVFAkpEjK/gk8ux0vXLTzm
OTpc/8hKsUMMbdcLRoJNWiYYj9C9m0JeaC/VXImZaiDjdy1HoHIfhNu7M9JPk1ytbXODH405p2hL
PLrVpPB2/K9HdtthLQHroTuX+mmEbYgEv7XWo0Y9ij9x8Sf72A+LCfkPQELLqDbUjEn9XJoXm9Cw
+3aTWEmB5mXO/WSK6RUNs2+eM3Na4PRn+XMabN4npps0O3Or2MLSIKSk7NY2nrQZ6sEhX9kKE1ox
IWcgvE30bF9XNk/b2mqPqEsDDUs6FxLBVr8sTeSxcH2pshSRQZG25YM3lC3BBH2+TYegGX1a8z5o
ntYu2HiBbp715LOp+6ZCVPkRtRojLG/Y5I9qo7S7AFbstkvFc54dScLdqpOG/6kuIqyC40Jg0BJ7
ak+KhaaS/WiyChVzF5hFticp+y8hkBgE2ItVObwYN5ZbfgMULWpcPU0HWW+nVY3tlQdIB2dRl45P
kIVLBAW5sVxrJSBbA/StFa+BNdMnkhRrIis63/g0KK1/to2zlomFj8ZClpUGkVKwzfGu5aiDCLok
74ZZTlMcuaV4LWUEedzqcFgQkCyp8cPK3fGxIQRRXuCtysR1fAjCpYVInnF4aYHXNEz7SmhHzHFR
4fWOHZCw/TEtUx6MRTnAVSmUOIl2wOS8q//9PA7Yts5gp502PZAxa0wHzGROx/Ox2W8IidSNmavw
zc0hth/ztYXSls51fyRcHibv2jWCxJew0G/gTQ0ZEXNfATLyFt0BoPC9+97uNwiXnTe7iW9WQc7/
uMmRbnXRadTk6irvuu+ZoKxIHL/z7xzHV8/j2lRfp6zGceai1I310gk4Uhzwb+5ck5DLAjO75RRU
c1zNm//WiV4Rs9RbMiDq3AatSfQcso2takZCVcgsNG+KsXdVwjJN3Qqr0M8ZlrjPCInN6ZBrVG5P
mw85Hkd74PURUo7sO8a1wDsZU2DlL82gq/sOBdWCKRjx5QFrIguP2airb1sntsvgZZOXpB5GjRO5
DeHzxm0t4ro0XfcA1I33h65YZQzeXH1L07KHjw9MG6x04FXLFY6EveR0KH18gZDxsFDCXSNsmOoL
KgBVHxcdVlfmaLEbkpt9lkCB2O4JoqCjmh+8ieXWtkYyW0H2kq3+fLQFL5dkyVPrB7oVFsudMbLl
Z84VPqyEDuRn7c8W8yBQTKgnDQRhkWx91oVUTMFV1xqjGWEayR6lqPm1VGAhG4NAPFi3mGWVOiJi
C/hYA2bAxKaYwPNRW212sjwj9+NVOI68NiyFfqnQM5x0lwVW1Kwrb6/aG1px7gmua5OQB9pEIDJv
+dGeMrld9RmihKXDDpMGb1STwrl10IzjRMqZGDmj4fBPNPPIXeXH2VqL1xaIcXbIhg5+yyh9ll7z
KNYXw5y6RMxF8NxqAN9x2KfQmXLq7+8LhSizGS+3n1tjzp4ReKjubEDZ/qjJfZXf4T1Zp1CMUBtA
ca/NbUukChjzcMlY39X2Wu0qnX68UWggbqYRddb97A79VZkGM14Kv8XrAunQWS46WEofcvuGXMho
vBpJDOMToiMcUCybO3sI7ZA55JEHz4s4gqVXUEtXvLDHPB2N5m6YzTk/Bmg4gPF4ap7OcmF1fMDN
AP2ecNrFYUMuRHOpZaAbAOGYIaB5z8vnGoUfPta8HYJrSl4EZeVALvkBTy9xDdoOxq/hRmr8QaRz
C4Z/qOtr9oSmOlXZ0FDZBGl27qbRIXoBjkCUL2vunI3F6TjWF1VNRCla6s1wJuubJAl7R9umXqQL
d3DiZWp3DxWoOrKU2II8Ex5QsFYjv8bAtAEU8KDNAvQxz3O9Rmxtm6Pv9sud0ZNpeFiHgBvWD3tE
fy7QAqIs7DzkH4iujrdPRZUb2WMVzMm6pehicUqWjyX50ISc9FZ7thUH41kSbDIf6AK5ZrvZwfex
EP7G7bmt3/ACTopat+fNh4NlxNott3Ldl7cdFWde9MV5zDqYzf1smOQu1f4yxkuD9fQw+HDIHGQN
X+eKucxJEU9FhMkUYvyr05DkC+kXzqGbnfpjybCjJStu4AktAmIzGBot9mWQzkjZKSh1KSctwXqX
BAQc3EPjrwcR9H14NFSwtBGavJyteLj2LYVwO5SXgPCrk6nCMjw4Ak3p/RboAFo1JB15FignqELY
IiMOLqD8sGGA5bFtBuvIfuyqjzNn1xrng4UmT6CBAoQua2jwYVnA066oM6/W2kQoYlPq4UahekWK
WfUPeTP5z9lqqit/XAfjWC2oMHllrMuxE65hJkiVqSFtMghNijNjFKw40c04uHfOraFALU/GNL3u
JHb/4PtysqNSGpiKO+BQ/KB8rdyY/taRLrdq6SUys+fvJRpfCIZGq8zrsuiV8x311XYWpCVPSVkX
7VvQ1704TunafEO/iiRiERPeSKP1HRlXC1s4zFycdDEMq5ZdtcAoTuTKqE9+OI524vE9Gac2z6wm
Wtu1PLLpR3Igl7G7GJtX6/PsN8Y3vtNZIxNoy+GAaAbdQYuU6wpV4PaBLnbiANclxZHweMosw17L
e0ODWR/sXaRo9Zm+7olOLChKHWMhDMUn8aMu1+5DNYNqjILFRTKDBhulFKS+ZYiBN+n7boB1w9vX
XF5mNJj7H9/Ckr/SPD2QZZq+Gl6NIXZma2PiILLTx0mYqR+1hIfIpNCABuM205S+6Kiam4nhgRMh
sfdfqsYsuE0yweuPUeu06ygKG89jTXe28tgO57B2kHXoZaSky2WLF3E2UVkdrGC2sTquaMrVyJEz
0NJNsV/jl4wgouVPbtNTMgRFYb7UQZPFc591QTJtuL1OIlWgt7feUFeqcJGMBwTFkF3bmPDP3bVY
j6PMB3TpK8nc5jraCCgcdHkY57HmRizF0NL5DjLaSOSVhoTlKYIaM1GjiA9b682bVqy6kDv8p0DN
7U0hxq15BIIQpFGelysVXrchTrctTAKx4xeceg5jEZztU+g9i0lvS0TamHMrgA4KXmz2GB4oChrw
BAaDi2ujqbcObhUwAFTkRr4k3TYORCXMo7zLkU9sFylBUB/3oU+fFMprueVbO8iwfuX+dOKlDwan
bddOnBpk4CGmBOjAfKNp+hQQCrA3qOCao6lshEJOouVwP3mGKn7UBcG66FUm3tXxxKdi5WKTc5RM
zYZ6hyUlWvW+9JExDH1Zwpsn1KWIRkBJfYKq1tXvhN2GEZgMnj0yxfVzP6fg+9Aub6+BWS32EZ/r
ckm7Ns8PxkpBF61LsX7RaMrPK2j+BmJLyZlkFnL6ISqlbzJj0rxGhFssaCVIO44UmrAW8QKK5Lig
7FhvyMBtpj1/aBpRzip20F3AaxhMWJcaF4nqBvcxoVKPqbnCMew4PdR9a3CCH9zdNnc3Gn4eIg8Z
kMNLZCjZGcA428m+MsL+WFMbz7HXhT5eMGPYgLAA46c0E5lznKcNeaHhrM1PURv+rQxtbR+dbP9J
zEFknPhz78UeLRZx5BnD4sjJmBfiM3HUZ59xWJAElcVByKOJbdEJRxBTW6r7L4H2qdCgJBney6ox
nNN629bVOuksiErWxY/+RgzL05qLYQOUERZ+DABkrJHUdwx/Q2+1v8FqEsjNEOMNEcOCBlgcrlEn
4s8M683oFqUVrR2HOUAU2IdHTiskivNIWDgrJ5m9mFRggHjaeUDWOOIq3cNIR/ZhegmQzxBArXAo
BmNLpKGx4KBvTGOI9ZbmflLV9JC0FoOdnZeqCogqo/S8VA5/NC7LZbplluBrxgjpUsQtVOE1tlA4
AcLDGIrdfCpQULF0K76utprucopaHtTOwai6j9PgEIyclzTSA9x7a9PZq9XApyE3ZV1vhjqrvEia
JLtqYYxVVHoy/Vnw5n2DRhTA9IC0GBF3Q3xzIWaWHzqQwxOXdLcrTYDOK0oc9DWOl6ff823o9FmG
m2Gf4XzA4dDKxU7dyt6/p0LU2xk+DwJVXOY4zFkTShmXooGwUDEC4d0DWsDnvTyqu1Jl+CGaqRve
fKsgZK6hMvthYB15M8e+uxdkwzK1AClFNd8CFaCkZupy3TG4ySF9Y4oqM9a959GzdXHpe2m+Dhw5
H8XckGW1kU/1Qkiz+b33rRWSUt8yIpvzYnRiU/AHL7peslMnUfcf87ovz8LNbDbIzMpGxJviG2vC
k+S4saM5czz41WVfnFB20sMitKYxXw1LP3hLKS4bFpbvMDMQp7a9Yb3x+pj6D9TQuXdW6eYTD+VT
QMTMGSrud9qxPLEAyK0HRkOEo9Ej99/xKqUr8kKrgpw4WmbiKoeJjfI1P7TQnvFF0RrSMIcB/+5v
g+iucX0A0CbOBqd9iCY6lgxMVMxBThYIekkDQbOZm4mcClnGplOvjBMdlOpu0TBrYPY4q0Q2tk/r
Wul5BM3tj58apyIWyHA4jY+zNZtvU4hRlkAhUuYoPpz+qUTxGJDLtO5OUDFKzGFlvXDHhjSS1x48
4WPWTyBifEJldmCpP87x4OzPLFFJ8xUHU1MduRdYs3USm1naOujbHL1Sx3To8piNKRsnCTGDzjEv
kQHSlXl0UTPj4i+86qp2vx+yuwp/+w/fyHKLoleV8GLxXvCT9f4EkYXVj3loMh6HCMPBBlK234yO
VXrDAzNTYUwJy+3dYr2UUTcZTX+2eod+ysErXif9jBTuUA0TnrDM63v4oPX/Ye9MdiRHsiz7K4Xe
M8FZhEB3L3Q2VbV59g3hZubOeSaFpHx9H1oUqnzICu9cFlCbRCYyLKiqJEWevHfvPaJdz42qXuEQ
uXrnIwK+K0WhZnQymoizLpKL6C1Gd2j1RUvPoSEW4JAtmXRcoWMdysqsfopMxlAXgWLRv6dh0wZY
tFyYQyVtTHen9IAkGaVxTKc6qOBgZlY8JyjYOk7urBQWbBq3qogHQVXZr32SvTi4lHXkMBHA67Tn
oeuvMYMh4ERhz9EwIYwCUB3RMS4hCSRM6bijcys1PLbEiIp+RYO3uIrrAYMiPDb9RC+HOZY0gfDF
OqSvYYp0fOnchk6D7cfPQzAob+2lPpFSPecQeK7EgZWrGeYLd5uuMfHJalZ0JKPa+UhZsGgqCXfe
AwVxiF1FcL8fsxZoSJdbNU6ePD7VTI1IYFa6P4mKEmgF0sLbsyBwklGkVYHEK3JZIVXVBAtw4qvj
bV4HvI4GDqaQeYstkLYP1AbrWTeDtYPhTOe9pHzmRCNTiUkr0gzXgeZZYs0wUg3nPiOnC/NIGOzg
gZNtx0KvqrNZsajvpcbUepiUiaTVJmsgI4wiWdyiVt280s/NOAFp2KubSJXNYRY8LsTbVrnaG42d
P/RkehQHz4vEIUaJY0HXGeRrRjcXVINhdre+03rVCZ5SdMlv3xP+iZrjOiQWFfYRm0K4rnHSU79E
aUn/uQvdczKHkY1APeH0ZbtNkm3pcpHBgFmS20CasB+sGrsI3V0OHCkmEybK7oKI/KJVR8jz1zip
Cjz1ZSiIrBsd9TQl0iBuXXeaXZZp0KYmsufFiCqO2zN9hxDkBO79jcRQRtDNPMY4LnwvHw49z8eX
FuwexyHVleVln2qeQhgo9rut6rhiolXKdz9r7AdXB0QkLr1efGCAAfCCInDdER/hfBNdmyuMf0Pz
7LeO3BMmRCsxCA2D+QY61JQN0g+TXRKTd79lrOxMiIrGF2QG6m0aR/okYRJWG6Mbm3xfQDhgOgJO
1b0IaYE4uPBzzv8DOlx/S7RfTFi3wYRrXxkIpTNfZN46IDlHHopu9u4CTkYp6+jgdzcxJ2XSEBK4
fzS49Z2HizTe1m5MEMjsImS5pPrjxJLTkAtPLjkY4V3CfAJ3VRmb4/fGyIK85VaKTjwybgk8rPaM
IvcYoiLnZMxTGt/ahSicq2Ga1HwtU+Ii7iq7zcTZzQhm+uJlAUF+GczccMWUsruxvKxwVgwea/9P
CqffRslOQOy78DFok28HMOPn0a5b1LPPoXHa4OEdL6be8a/NySbgplAODmkeyr+fJf+mEECK4dom
ah+LK6Ps/Pl62Zy0CKM9+sgEQtCE5Fztkpt78N08pXUUqzWSkX7/edF/SZT7/2fa/++WYLsY7v9r
1e2KwFCc+/82lB//dvjW6m/kLCTl1x9luMu/4C8VrhX8A0++hU4FvSKGfZ9b95eX3/L+gb4BJaog
8BmR1g9Ztq73DxtiADfUZiy2hNn+hwbXJQLAR+Ap0a8uvHvkuf/3f5OjEH2rbv7SjHS//O8fUz4d
d3kS/1NbIpAfwOjgX4im13PR9C5ijB/kRBPABq9QLu0ZnOYgjCcXQ0bI9kC+vaYNgVu7e128VRkp
ZJHw4JXqwafYjaZq1U/9mO5S1L16w0l0/Br1o/XYxYJExnDWTLo5NbTQJ/Qoom2vMBiyffQTjjU7
b+RF7efjsLEVRuzNhAtS43nD6HzlkS4SbgJSQb6bVj7m/KkfTttB5Xm88hHdPBm4tzD5+Hak16VH
E2sVIjU8CrvHzZAQBfwUEG7y3EZxdm6DgQrEyqV3P44xyI/Qw5u2InO1uAhzZtDb0BOUu1VkWwcr
UdAFmzIwj3JmCHHZB4XUjEq79iTVuODroYNsIzG0p4SczXuzCKxL9hKa0/hvsWmSEXk1DmF6lcxL
FQS6FievdhStOp9gJKKoTXvLp89ewihqT3BeGbQ2/txRw2YLiMnU0NcZNln4/A0nbe5aY+y/dzHy
fRiC/O6b5ThpboIiCZKNM+atpMrqAueg3c4Mz1mbJewCqKu3VmOi+CM2lna+qIPky4heUq3GXgTX
TpzR1Gp6ujrkr+XRJWFx/hejLSRjSVGq9yozxbvh1npeEzGH6coLphxncyIOEac6unsS9vta5WH8
iLrPa0mPKydy3cwsuyoYk111xJ4xPZIkZ1HOhTxlsexHxXTIss9+VodfbOIKkSiWif1kwwFnSFbX
HgcwMowKlEntmh9/AAmcAZhYWYWbPKo8xWzCe1E/pqKI3srYh7U7hBUnBBB2+rmQ7KMUrHVB4uvs
fl7aXNLXqBnpe5mmdwNvsAAsWqMCIqcAePcOta0dnnx/YRvT8OaAJUPfOqWf9OP6k4QMxJECeXG/
3yvt8tEoj2n50+u6yNFJpRf13ODDTgEsC5+kuGQyCVX45C8XC4pZExoAAHsBNPd/sZqZVVqr/JPh
3H7ynJnNFi+j8uZya3wSnyXsZ4iS+mYW3ES8fqP40tFMoY09cT7kNL3Qo4mVie85c6PFGxa8NEQW
41myCjjUHcr4ykeab0thgyki6ggfDz1NWNXDgq0mGai2Lp0R7ALFY2im5BYtlOuJY+ETYXJ+v8pU
1z/YYwzl03AWOjbAU0jZre0P5rr5JGjnnzTtAJEPkV24qT7MT942Igd9w+mifE6mHJriAuYmgaKx
tmld8LPNGf72cXwpPGt8yU07u3PG2Jn3qqOJR4JDXI/7SmUwwO0FBx4qdr9VKKzOpSKfooIWxOwX
OyeXbbBOS7B6PGw5U+EE1wHH18JZC/jj7QIiNxYkefxJJwcgAHhm/qSW032MHiDCIJXpaYUdaUyA
OZcL8XysM/fV+sSgQ66nL4AFEzx6q1B9whxAczjGEUJMRjv49LsFqx7Wo1Mj5CkBD6tpQa8HC4U9
T7BJmixh3JUQTcD0CWyH+MwAJJ8xpm3baYG687bicwpEPX3TC/VdjyEAeO8TBm/EpX8mdB/3+ohS
DbDIQo5nlwAi71EF0bgxYcsbwYKZ5xWgG2B/4ucNzKHP3SeUHq0efOEeuxjxW5/g+hTLD0Xb5AC0
N6bUQPemzb64KiLI96jCUn7GcRxuwwCzP53TyruzRWN+66bMWXChGhQ6lgv2At1ru1kNgdbeJgFG
nh0FSl/GctSPxppimfqxNDXOdlmn1bwmEs9jRUePcejE1I5r5jIzUgbk2E+E3uZiH8O+cA+lE8l7
hpnkrRd+nZNYikLzigcLqRjKHYzoTcL8ayM6btLaiiLrOzIGO0eEW3jpva51nh9bYqKMR0Iq+McJ
1HKDtTDoEmyFLXp5igIvqjdj/Qk8YMv+EqAR6FbWJxIh+8QjGAOkBNPP9F31iU/gsARKwV6oCgjL
82dmI6AWKsC+p/ATwFAuLIY+TsZrZfQLoAHYGkkAwXWMB09t279QDp9YhxBy8ZcfCpJ/3+d/3Nd/
llAuuzq5ytLxCaf3BBk9i4r3h13dLUePdTzBZdpT6BYc7S/YtSFz00vY2mlJ9Uzg4mlOCT74n6Kw
ny8+/s//Wuh0/3VRuPnGIPU9/tWPtfzRvxeC3j+IiyaIWILMAUTjcGb4qxD0/oG40sdZRT6T6S7m
q/8wY3n8EYcInxIQr5ZN/vJ/FoJQEoRHrI2D0t7i771/pRD8+QAhzCXXGrkvF2FXlSQS/PzAaBEW
TPx0sg45FRMuyDxgJEbUXTYEUim99hLd7PSOzbz7gwz2l0d1uTK/CnFWzHVx83wWqD88qoJJbcrz
mSA7KcgWFLFpvjU+poFt5NTzQEvOD/qLQfakARVD8Sc1+eKP+7EA5vqc5InShg8h8As4vxyderer
u9pPeVUI9jZJOM5dZy1R7OyrbgoecXXm31x7Lu0NflfCLPraIiq6M92/TlM/leY/vrI/HxmXO7BY
7hA9IwXGg2P/cmRExTti2uzSdUbLQT0QEC3pE7J2XvbsLEQrVd5088MT+k9WCQ4lv351lgqJM43v
zxP5S+2vzCpv6OWltGW1dzKdLH5hTDgeSd8gAeDvr/X7A8YyZHsugCRU7J745QHrEAD3g0nSR0/P
+NMZjvsWszKynz4xpn07JWZ9JUAbvv39hf/Zl3SR0tILpsXkOMv//8PzRdtbIAe2MsatYeuT6Md8
8ehMBt0EIyIl+u+v9k++5qKYd2jkQHwIfj1OEWzsyDljDJlNvndS6ZQRJLXo6KL0A8lsQIHLT/33
11x+uh+OcMuTAzsTEpOL05Buwy9P8KTNwYe4UzCh8ExCXCpuXsp68YfL/P6iutTGnBTRGQUYRH99
WuaEtFOIBdjdc+/UFd1HCsZ62GmOc46ysp0x63ZFC7ss/7BE/H4LOZWwdnoCF+Wixvj5FpZOB1qj
ppAfPZaHlZExKQrLQX+ASinaP9zBX+m8/JzcOC7jwe0jdO7XBYHws4zgTbtag59Pn4QqmFsUljns
MWEMHdoJ+vabPicNZpWSTDVzmsLqAkVkMrZNhc+cQJpybP7wsX7/DWAWskoCo8L0gvro59+AGjiq
+pDUyyFunPlkhsW8JjEpGy+TJA7+sBb9s4s51NIsDPjn8b38fDFNqlg8RTlrYj16p74xk70XOYxa
O3esX//Vp3fZ3PA60s7gqfrV7UFwNypBd6jWYzIEeycdeXoLAn/rP4C8fn98P72UuDct7irNjp+/
U88kr0pKwv3bsVSX6Wzkez2OFEI0uHEreUH0bqKPfyhCAw7X33/H39d2uj9ckoKZhZbp4y/XLrsI
sjvfkZKW3Y1h5IyqzEcN6NukbVwOtc3W8/fX/H1VEGQz0qlnPZK/vzQNajsfYRjSapLzbkjsz59Y
ef9ILuOT/7T2gJ4AhcSuxdpg819//mYQDzVWDzJIy9YybqSbhpdhI91jlgzhenJlfW/x8l7//Vez
FsPTz1ddXOu0rZYXlasuv/cPa3rVcqp1FHMMmWOAOCFalwcyfVB8okOTByPXc7Tn3JiP25KJFJFq
QIOIUC3KQ2cSnH+RmiIjAHfAePOHW/35bvz02bjRPmIohwmB+3s941RZAELYmNfaozMubdJG9qnv
RQztbRL7RCnSEx2w+IYEn2A9A8u46FIV8Rrr7FuCpEwhHvSaCkPAkPzpvf7tJRBwEPGg2gwvAsqe
X344NUFkTJ1Cr3srlc9tr4ovOsATRRJXntxq8tFNJGIGD+aCxCNpWreTzYTeFsSj1M4zfTLEa4NQ
2JIjZR+FCMdx67YDwMMub6d5gw6EJTnDg09Efjqo5Ug4usz6+bGmDUru7KNqeZjWys6U3s20A3GI
lIVdY7hxKQDdeu46pp2TeYn1Qn5ThVVOTID9NN1NVZOPu9qW/HP2jH9sa5tZfozmYEh2iCHMt9ZM
I6Yq8cSHCIb+biIS+cZ0wnJnFwmp+eY45e/CAt5jovPO13Iq4mjt8pugZzEI364yjeIOk4882RG+
o5WqFdVXrwuZvRKGMV0lJuLI7d8/0b/eF1Z16vhAcHNoFvOfPz/QRFVCz1VVuTaucrUryrWTb91N
5f/J1LfsFj+/O66L+VjaHJ1lgDKV6cTPl0qnoaX9FC8zZ3pZX8HpYA8mURzhv43cioN828Xo6Il+
0+QUwBXqnZswaaMVXBHVrbq+dc7+BJzDLyNiFiM/iG+Yee0QfJ6dyQaQThgCMmGG+mv2NPKhskIj
f+LFi7dxoenmlUW+t9EqroD96naHuhHljqINWuiwXndAwEikpO2bTLX5dezmQ0XK0ovZIvxcyTAb
71FZlBH9R+Bhkl+zW8c16r1utjTtiKa5XZbEZAd00D2EoahvGuSk6pwkcBxrWfktBgYznFa9jFn7
oyGkc5yhI41LF5lGKESpF+nyuMTbSnE71q1HCCAKwMww/d2AoL3dYNZq6j3jL39PdPK0YwrEyN0a
LP2MQeyiJvZGf+WmW2u3WwabDYlJ3d5wcLqtOnaedmfkhXogo4KWlkbr2dUZisd+Tm8tVTuYN/gU
Mx1c3/APgZbG0SwQr6de3iE/muu7xhXZPcFLxTda7xDBgrjpBG1ur7PWUQ3nNByi6yGoG2ff0iCr
V2bXBd/b2morXjXDe0FWO6G9tpYo1sQBltE7HblBrZgGgpXC5tZC037h85ycyyb0jkbv7Pw2kLvW
mcCbyNm8wh3XrmvXIKlxCexCqumh6InKxu0P5Bd/I0/8i5GSzL3qhzF4aXmi7mIo2KtqGJCSVwkm
+Hy0nNfebKwl2kCjWQyfvHK0b1oUWCul7Q8rjcptmkj60lIbMHFwCcw7RJvoEiJX2Jdz4aenovC8
uzqwYEnpIaJtCcE3w3vgtd+Jy68kInOK4r2SpGRc5WH9LmL/njGgXA2tPdJznMh/Wrk6h20jHeup
HjME44yIkTKlNS6iFOQWmvlpYzCJx42g39tRUY95KQwrRbR+nTnDHZSzfpvjQt+HAeQbDGlTtXcr
RFA+D2K/YdXqSIwa+AVTw/C3nWH0R7p4fbFlJBCGQMVa8WBFBHLbYR8dObTkF1lrOljB6Cnt7aD2
0q0mO+u5m3rNL5l5OStGFLGNGG4Ou6gabgptmDAuRnMzWK6+jAZ/OnLM9nm5k1dF+vmqStv70IEU
2ufwmAcEIqZ+alPvCVkKahgs76vWKC/mibnLyD6+Glm4VnY8oqg10J2Ql2R5W60C78NOA416vupR
eHROOV0T1KVCFPEI/GgTgmr1Rr1NQG5gNCD1AUm1e6smy7i2WyJW875e0xR11sqLH0vc/RciiO7r
pm9u0WAmH7Hyi4uyykHsdH+RrvwCY0/rfa0n/TUTbZ4ibsrUF6qdj8Blc5sM9daiOn9JZy14nl33
YtKEmilV3E3ggQyMpCezcY3nNNTX3iTGxQj6aumPtkweZRR8xCOGIC3n44yggEWK6clAUE3f7Rtt
NZvAb0rs5+5rFAUK5pN9bSF8XPdevUtL/eiIfloX5nSKiB8sQTGzm1aPEYE9e2/OviP029TSfg28
+s2Mk8eAHL8VcwKmakODWC6avpKIPWAaq+d36ru7ydEPqB5NFNf0P2wLiIlX1yWJXwVt4C464/fZ
52RLqda6a0IEQjEb77liut0i3CDNi+S2tkqjTexb17k7c4c0Cb9xGp0pP/NVmFe0eWqmIWM1G1dF
TxzagFIfrbBEDNOZ3nHyY3NDA9xZFUXlEtlm0GB1qqvSgqsqGihD+LsEZyEk+GWGpc1JH6LR31Pq
aAoED2Ir78mQkBGW19G97fAOybK6zlBBolTEcmUn32QMe4LqzZObtrFBUaaW95FReCByKIzpowcH
9OLhfDyGvGdntwIH65bZzqoTPjoJtQejVtdZh7kUsu107xptjzWxfDRnddKibbfLLHDP+jysba9Z
TbW+oJq41J3KMOnQrtNWvclHAmtyuzgpq3sps/CIqiLcQ1MhMMQdtr1Ls4hWH7g6b3I2UZsgZFCS
cG6RP2LXrggls5g3gRV6IHTaIHB5eEx7a2d40W1O/bWiSzGtcP/dZikMRB/PE2tsdDYar9/WRvze
2VGyURgFDiWulxWANfxaRueRaZZFl0zI3u24PTZxJsEiIQKa8vK7NKBlcu3kO8fDGLtLaG4hJ8Yf
fajLE1mZpJahLLt3vT5/1GHDTcGxQHVj6K1ZM2nsobxsAIPhyzP3VM0Iv+wZfYr9DXk4sw/iatdD
NydEW5cSf8B8F1vuwRrVfVHW536o78puSl+mqblNooRpQizmtV3Ld4Z5kAmIfr7QqrVpLs0pivYw
Q3HebsOceUbcJ1ea1fmubdSd6SGvZ5K09/0ZbON06TQNqvPafawyDhcyiLAyRje4Do6N4Z1Ru2Hw
bFjoBnVlu9lVJuqHUCsqTvolh2xU3yvdM06t5zMCetaNsjwrGw0s9A4U0ob53e8CIIgkfTinxCkr
StXxhCgYZkth22vMkGfZYcUrqnJFlSEuwm66dfBBOugAlzy25YYX/auIUISJyd0bLDjNygDjemVG
I3gP01/ZQVk+Bn3xTmslXmFxB8mQ2dWwwUBT8SxqUp0jMV813XzsscFsnSF4ZQH31nWiv2BNRFpq
AcFZSEXUKUZ0thLbvGS6SVgfQagVY9LbseChpHWBJTHL51WMlAdraQgcSffGJq7mcF2GyBGDZNuQ
UxcDuXNcZOJln9xlMI/XtTea67YuvqLgFetMlx+gtvsV3QBEzQPJcm4Zrwo3RqKnnOuSOnqNZfjB
L5uzn6c0ZWBxrYqg/hqN1klFwXSdhdlwIMvI2qQOGnjAXM+q9pPLvJgFoBzioKuCMTUNhryAMps/
hGimw3HezKreuo11IuvjUpB7bpIguQ/LkiRnBF8Iqptq04fE2ufNR6Lid18kF9Hy28a+fvDMFgmd
xno5ekz6yKviLwp6Va0Nti+La0bFBBTUcbJnzJbuvJbEPVgpnnnf4FjeTU23x//8FHJqW0RRlu3e
UGnsiOxWpMLWqEDdDztX2AOqkzZxmZsIsY0hw2PqGbsom3dKyBu6yo9mEX6kpbvzejBGvrt1h2SL
5vB+9IprhL9Mm4sM9bbeNM74WJHVGQ/ssF2FZlG57q5HwLRzZH5D/zTf4TZeomKdkbFr7tMDS1Bk
A0pZEckDazVFEUwoctr7HVZs1ncnHA+o3yoG7M4+9kiGjMb2viGQrDWI/MbQIVYemf24waons5c+
vhbznBvmHWydK7eg3eRPxsmq+nSbm1l/9JE08Ei5iCXy6ITCotxXnuYH6g08UKTAf0no9mxDctyX
rcCD4jXfzHN60rIk3HNSV6qs3sXM9FlArT1XkoqcavpZFs2NwE50PSDNP3g26ZcYgltRaBLTjOTg
zKHxmHAqeYhk8OYPNe0icaHM5k76xoMXGp8o8PXku98TIRXHUIejmxBfQBy0DO2RYGDHsFaDoy8T
aWNbWlIccIa80uv+OvRSrMJWEO1S4jgYGVLGlr2rylzvJz2lR1k4DySV38cxE9LJbW4J07sVSDGu
THuBvVX6izsax7YnKzH2ye3NHXE35Yq6oQvDLWKEGyNL8nUXLrGpvrigSNvPKSLJYGo9hh6wzmia
XyehEuuu8psd45bbqknfEM76i3rwGokv9VY/IfSVXfOdIeMtkCoWf/pIK9OvnzoT8Bpazo/KGW+t
OiAZhOSSRwMJLU7d3lvnkB6II+imIyLQ616Q9m/YESm0Eaj2VYPXbiXjBrXAcLbz+jJhAzs22gg3
DqeeDftVAuCXheOS506fpkS99kSCr5EgsM5RjsBet88iSCpQfBCgDmFcvaOWn459T9iqiJPrpg+v
wdQdR7UYl4sUU2vVs+sgzN8CDVzgvKTGWTK2iRTFHGzaYNfRvIabtM2sVZAWT43uDkJOLGesLCuz
Edu5MMpzDnV0Rd9jo4fysSqMb9pr5I0ZdfGlKRsAmKKxd0XCbZ4IR97m/hhdOqrZmVl4gTVoz2DI
eFUlF/ZzYx8UgjdIjuG+zI2bVJY72c1PkeqfqiDp1uMcXQjR7lnNNmYf4LSenHPVd7fQenLM0s3Z
0cDovLlfZ3OJ26KmyMmK+G4IxEOV4hXwdHvTmN7LXAbXwQAOozDBJ0l+JkOSWJyjSUK8DQ7ZeLSS
xjw1EkijjO4aq7orBixamU5eTVi5Tsl7pz33DDJyWledfWw9ckz1whyoLyez5VjCCYatehf3E2tU
JXbu0O5RamzpY1zkukcaFXXllfRwv6x9Wc5nu/UUiqLgIinCW3ywuCAF5GRzDIGRI7coxqciL+SG
VJjtBMjBmDLJSdn63tfT8u7WxGyTsLMVOZojIrYZrK3a0CYouKkUxFyM+RkipnQcffijbTusM28M
Hjkw9vcwHWJm96aRFaSR1Bh5jDSFAAmPwNRXXk4BfecnLds0hLW8O3iZii+bzshup6hqvneVYvEz
2o6SsXES54rU74puVtK7xjFE4ooFtfLsDzo53pOhiulANvl4hUAz6vfWJKYn5Aok7ifSDNemlRgQ
4rzBvglrI2SztlToX5B8gyLNszO54ZWSzcbsxgF7gPUAGHiwzoPXiwefzIUbm67yZojma22HD4Gc
b0lvNN8mkCObRn5lvauxwr45rb4ewWasksZOj36EyHZlwazLdzjm+teJH4gnjDjsIKwAw7uxuvXs
YtgJ+lk4T76aaXwZGtHD5KLfL/ncRO3chRyecz3c2FFwSyO4hK89DuAYPbJ7c1ofCJYu7cnIQkCr
XYiPPs1gZNTbKhX4WyqsSTqFYte4b00rxbawsVvlDIlZ26FM8UcaTIbBs4tHlV2mHaMjcMpoW/pT
dY0NiFw79ZwlXbXqGnN4aIX9Wsr6SYiEJlxe0gqvY/GWTgu+vAqRQUWpPiUB6UeYE56RpjV0H1tT
HQrWErKnPVJ5ZX5f1NGLTSYKzxzus1XGd3INAmtF3jsrqr5GrzCF9ZLGAX6xKGpiZxMrqBygiQ+i
UxeG09wlg3Pd6wpL7YToi/H6W5URahGR23Af10ahzgO6yK+cy6K3BkfTTV4TMoC8O7+LapvOLlaI
ZO4NtEDjeEeDcjNH8hiPvr6ZVIdhtY3mfTX4rGepxUkqxYZtlpF3zwv+tWvhAFLNX0NqIRBF4kzY
plgWHzkI03ElEX6+x6qnL9gW8XGysT7UANPOudbpjcC4dxQ6eNZmaRylJW4iJ312uQ+nyi2rbQwl
Bb8lAnlN0dZtu07ib6w40Q9xFmO574vHQNNA8JPCu0csw1fwLUTvjPuQKTfovjx/vKlJHnmXUvjv
nvLU04BxbZX37lNDsMYpToocYppBHe5N6WUuQ0zlkik6BDTyWJppWgWzfZKwLtZTTcaAHLutGVsM
8bvpneTkS24LE7Sx/cqYOd+0Xn0L3HP8Wsd0n3hjdsVEAoudufGJ8Ui5bZu6uFBlP1ygaSsOCSkT
h6r21KODuTpdt4H/YlvYZBuK6DWllLVzg8JCSmAP2wyPzJZA2y2YEuKZG/IJnNKXazXNPtk8zNiJ
wrnHcBWvwU1mR/wvCvsCc2GMnwp7BYVMK7uXcR6/p065myXZPzm1Itwi294uQvpNXs1dusej4Vf3
UWsWxqawfYSjOJPHleMo89HF4LWy7RrYZhSkrzRJZhoqOJPXiAGsk41UcI/cl/6ZMQ/Qn4eb2aGS
zj0/XwgN+LM9MwC53E6kuZCKe5hrjxiDYsTCUtu5cVHNfnrVoo86JpFrjJAs52pX+Q6edxlF9wRc
eJdlOpyNwi42vuPlryQuxa9ll3rTyurGmZGbMGG/Ze2OMDDnG5G9FkMCZ/ESRUn7NQjS2D1DE3a3
zNFR4aZth61+6TRzXmpQDYYDhQrvTuQSghOnPJAzpLLVTC1IuUhmnQ+GVA+KBpIkRT9nSXMNcVuZ
CYzIFcEshXeYsRJC06Nrzfs9esM66tPgqzbVDGSqJmKBiltGdXjE/95WFyoEl0eXmt7u0eqtxP3W
oy7l7e0HTEN+AZjgC7Ea7fiCxZu9wMp6J3oLbKJ6zqbu/WSJ/+6iLRaf/Kkr+s+phM9qN6A/xCxl
y9pETE/1tobWSSPFGkDGNOTaeBfsFX7FEQiMPRJg13+Lisi/aTjwRwd84owT2ibrMMP7xgy7Gwbo
AdlhLW+JiwzV0Q2UcHYh8RvjoeqL/rnycx6qMiNyA5vM5KTkL4DAXRohwkiPsT3N7Zr4GQcnSmdP
7nQc23mJN2tcMJzzkLY7ZzCdQ6yUHyDUi3FYo0lL6We3xWy+FU1hrovClNW33jY693pWvltsU69w
PUZlxPJvmmg0pl07VUMDFbdF7on3jiAthpdFgPjRNOj0qBorqQMtQELjrvh4hr3huL0nYesWsS0d
Wdm8FULsHXvcB2N9R8zO+FKltJ8D693AIlZU3XWb1diDOp++cM1yE1jNQdFivtW0WzeoWa0Td/s1
pqqN1fBN9gQjZWLUr12ewOmiGzlDYaQIonfHiYt+w3YeOfn0E9HDc0rDZTnExzsXiS9HzS9tPLbR
2vQNxkZRZ+04xQPeUI7OQBp9JIE8KGP8YkW9f4X/xCQ4BkWwIvyWP3HvaZlnDw5ouSfTqtPD4E1v
snfZumMt4H4545YjFK6gvLHFseKzrtJMSG4xbcpt1zoLdDhTSBohvveVfzvmuRSbNFCsBlPrz/vO
VZL8tnqeeEUgxTtnrFflW+SOESCRNFHusSHgyqHXsIxbiawGYnMgCYoDvYuWXW7KuOdcUAmH4wnn
xmGgu5MHmLjljNGpWex5TS1Jh4pbsn63ztj44lQmRkfiRwkibMcDI7udQ0ibeRJFZ3jX4aCEf7Cr
xBBb10BiQLqQl11aKjL901ibTnXB7U30wVK2rTfhhNr2LESDbAy1ClNY1BwRyQtNb2e3VMxT9NDn
c+6AOzBZCnxl8J9gpJhEmWYVLLyabiHMl+G5dQMCzMj06WJi7tzaZHWRkcQymlXOubD07Nxj/W2t
U9B7XX6AAqHHgyxANTfkQSzLhCLzpfiifL9JbtzOSYvLrGGsszHHYXEeO/Xiyg58LMaXAUFiyYF/
c0gDo41zIKySYBynba5RhXPCskU2H72qYEvESX7NM6z7XasIe9k6CBXGJ4I1gq3TTjXYaYO8QkAb
NlQN2hs3mQnXBh3ZuMx8npq+s8gpqrtg045MLyPqzisdlckFs7jvOAuf2VI5ZFGAn5rWwcX0id12
/VOJ6+BQLDhu5AqL8gNHW+l4PcaESm9jkvLWndECESWeZG+UgL3jxV7bLsP3mYwVjhz+4HwMMjV2
zMzDl7C0EZ/TVotfik9weDcuEPGcoiM90IKmtlRtP5/LFnMgYAaeBby0zSkXDo2gOPeDq2Kap4NN
5CyHrgCcuV7I5gSezylcJvx6qwJ42cMyVtkN5Iy+TFAgeMwdWb5j55q3Q+udozDL3qbImm8NK7D/
H3Xn1SM3km3rv3Jxnw8HQU8C574wfWZ5o1LphSg5ehsRdL/+fFT3YKSaOa2Zxws0Gt0ymZVMMmLH
3mt9636QGUHGY1D0CHSX5LQI8agtUlYMVwCgIhiCRk7pE8tSSsAka6K7kWjrTNyh6M4TB7IDaAyS
N0mCh2jYPVq9xamGhpzDJ8FpzvGv/xTypT2mjE8+AT9as6TJnVe1Q2ax75ZmJBqDazpnLdXsTHsL
0hAB9tLOzrUZT3c+J9U7n/tug+L+xakX8luY1FqfS7oIDM58kA1MOACmMWj9kBZ2c1+Y/kd7pLEz
mlWwq5B/38exbqddEcx3GFyJphANFgmrbq+DHvho3wDmK0I9xrTy+J7EXBZMJ2UBrSNU5QEyU/h5
1KU6tMPYXJkggm7sWICKoUPJ6dvF2Jiuq12XfjBFbF+AmXzuC6vcISs8+Vk8Xc0TNAF2DHUT4ng8
Iy9qmTD17ZufFSSAmR0J4kVfrz3S3CbfnmmivStdTO4ESNqknoPK1BsjrFHzQzHgDitGb37r/CIf
ozw2LI79eXYHtSX4mDqz+jiWAduELe6hV63UpMW71TaTIQqMejljjzPC7czI7GakFNnDhhu+ApiT
92Ag5Z3R6zMhf/SNTG/0jzQU6Fq5vU2jyMxdJ90UzWK/ph3WXDUH3c5u5vqG5F1x7H10AFGA0nHZ
mJp4jSoX5c5DqJOw8CzppzQGEmKkDeAcxVybEWzbsq4GwAUrArGiMbUUmjPrsqT0DE28irRJKmvE
n+oKuvsjkThDHwRbCxPYoy1wbIPUnA8MJEOGemlsHdISdCaxmiUhXmO97BdHdNeJMWDbn3P7hlS7
b1rUYcdZaTlxpkkIuYtB/thE6pzqqplO+IMAJhahezHXYMB4Ee7B6SDPgAaMnfsJFs5rK1viq+Kh
m6+hvLoPdTJSeaxBhMtSBzc0cEDsEVU4uAsGniXbS6GLqCXOEE2I8TR7tbrvmYpRvmbNnvsfeUQo
8v1qTXmRUK44ucWufUpAn8lomhr/IV6DFoMmL09hP4THNtfxUec+HbosxIIrmjOP7Kmo0+UVNR1d
7YTeo8i9/t4AsrJNKfs50cq8eCRgyvw4kul94+JeYm+2Uvo4nnWLxfVD4a39VbOqcoiSZrYVDdoC
5HjpBhx1xdlOWkfCze1DnBb6bml1SZlRAhlgxPHNHmP5Fa/7tzKvSeDrtH4bcsu/6VY2W9RqFKi+
1LwPMz2G3dNGrOmZAdxNCpu8PM++3AdrrCnD7T1hYkdIlMPJ9RLC1Cdin6wRq7sPkjRs5lcJsXCH
kOS5qoovrkJmgjcWP1PrRASAXjVu2DmUC+gFY4Kf6V95RY4wqIJWW631jQGtsyasZ0NfZboqOI1D
t5nSB1rh9WUS5cNA5TwEVeZtG8lxwtCMI21kt+dmEtysBIIOxwTvUHqRfZftw2FILug8FF8Ea2I4
hmzAwHtIKV0eF1JptgWL6G7gJt4AzUJKJcJdop0naJ2fK/RiezfAlcxAcEftZT5DVjjSas/PwBY/
tdKUuN9L85vRsB9l9kiMtWfPz+AvRjNqsxHJYCWXGXrXFKTn1bPxEldxRcPSnzP+BtTBLawJmFlB
zMFAA3VNo86tjUtprA6tYTSewHyrs6XH+ZKwPUd9qotjSDeNJvwkb2UX0FDySwBDXpVeggI0UIpQ
8yYoW3rotJ1nUoUP9BQ5hHDsItYUKDHYI7GBdNc+ZUBGoBOEaleXlbtv2AX3zmLlu9mo/G1L7+U6
MT16waKiJZiZcmNKP7zAQmUXdBP3AZTRfLXMunt2Yw6xFZ3Kj4ZnnCBanZtZCwvcQtNc0cXeCNV/
yrRb3WnthhcvxzQN7cY8dr0hn+PAMS99J4Ir2G3dV5rH4pIZXXIxzXogVxD4lZHk4haFlxHvWM+Y
OjAmY+iT1BtX5dWxnRERhsFaMzZLxgNqF7u5hIVuWYYLVwIU1532auMG6lFzSTj4P7VGG5BnRsu+
NOmF4aaETjXMZfOAl+gtsGV9JWFiN3toBM3RbxtvlznYyNU0q8+hYspfIqqOONyxPFfWxZs4el3D
n50eErgROdONpCPUjFbv2RhoNa4lIxMgUl/ijnSyWPjTgZ6JefbHEtxszCeoewRY+Uhnk1hWKc/e
tJrc+3mG/Fco4tuoyT7NrDTTkac6JKGsgLyMoQxoGCYg0q+00RznyWQNyIhvnZGrHSt/Vju0CTxt
+Iz6l7inxKT3EYQ9fsWhkBGdO3EBG+acE3oq1gb6iP/sJJb4ngZzeFQ9NRkmeEc8t64n70fHMZ7r
TFvXfe33Z9xPLzlI0OuJI9a9nbv9uYq95sEArZdGbVLZJ8/vdE8b3QKDNzIc25Ljx8leTDMham65
czkYigjrm9WcSo/kUNiliUn/OukHSGUq6TeeBxRy05Dd9WW261TvYATFz2mniu92EWNqGg32giBg
0qCU4LaBX5hzy2cNDNmWdLsnq51dJ0IVZwXbrOlcamBTXpSUxYEFjZqtdBc0YJwbRyS/vrnHNefT
T1gQcnp0mAu8Y3dGymnhqRpZ/bwZZRwIBju4JVyVVD5nMXvzg4OmguIp95JzUNfxhhO5Zx+J4Jsj
0VbA6KaUaN2tM62wnHRozXljOjr5Bkl2YC7qI9Nq0+IMNcr8bAMjOKtwYX1w4RWUsb1cAavgpEnS
8nUzGvGLtSyfYYDiTHSZfRcu69iYZVdF4U839iSKvd8aI1xrbz0lO81XJxhPSrRx1IX5dePr14yb
nG7iBEIZo9qAMMnFUzuRzo2lr62qDaorwi1RTCUk1vaselTbRzPGhpdZ5OwxV8phg1lxczCTCi+h
N1d43MBN+kiQAicaPP8Lbbxs33f1QbruuEt1DcU+H0jPLgvB+AqLApJsLxIm6pa8d8M9qKDqZHFo
2NhT8CX0E0QOiCkBM5jqhZDY5BQ2cQIiQXX9kXZUxwOEEILDrhHNUPvvuN7oiNDjXYopJxSoHpth
v2DE2RfpTPMYvlttQJzfLkwxjEsoluppaDh7br1qBH9fG/X14kDoCcLWpis/J8ZyZl1lRuszPaaC
ounFfBTWJ1gXbr4AUrjKTzKpqdH5PbGTLNIMkKtO0DFDosKBJDkOnm33W1eMwy5BWLKn/WeAFxmd
h5Ex4x6fAfMh30GENcF9xzkP0I0qaFNYrn/khKU+LgTWHE27LSkcgprwPkksp61dBqpt4/gfe9dA
K+j3c3WtYje/jGLi56Doi5l5cV5OtBi2xiDvU5uWpixneqDgZ5cT/JLqN0rs9/n1SC5R6XhiTW4I
OPsG7+TfJIMr3PXNn3J68E3ztBkrz8sBIdeIehxKBNas9dRJSu9pHkFfMqz3GQQr2WOQCTkFH8c4
LrljpxqBK6vhdAdOmKzUJCcBAvelrS148So1vlXA5AJSm5tq/EM//B8RH56ain/+e/07XxBN9FmS
qh/EgX/8378HhTh8a27eqm/y/Uv98srADP786bZv6u2X/9khS1Dzvf7Wzw/fJGedv3MP1j/57/7m
//n241V+E8O2mhL+d+vfJ0DOff0z/mH983+4/myC1siwAM9h/enT+7vrz7b+hgjbomNuuri+vDVn
7c8INtv9m4cH1V2dPT6q4DWQSXKTpP/v/66vRxHKvWRi/cMP6Pwnrr/3d6blCt7XwVDimGsS2/tQ
ogb2mSnjDJb0sDBtKMORGTkurUZvaDjoRwaBw71R9OZV2Dox3OWKCqxxzP7zlBPVyQNG5Q0FEi++
OVEHK2O9dV2v/ShjH0QcIkFf7bpctRzoabLXoCuLxdn/dLkRAM5JU/9snXunnuZToCMOoSjh8aLh
7K12gZ/sAH3rj4TKGubGNedq02dUJBjpXKzMTrdtIE9IYhiTXP/GufKv3hbH5g/bJvbM97akkOFG
bZdgbYiLjEYn3vLRIkug65iWczsM12PPLPKvP+o7Z86Pj/rze1q/ftRpGg2Irut7CuBYMawE2EZ5
1HXWbxzE1vpKP/kYfrwTV5P0j4AS3/XeSdIFmIfMgGFIkW67A11bq4LfPRSkEeT1YDypOXQuFQnX
M2LeLqc6FWzriyZGbMoS72IYjXsM1jU+Gli3sfylZHRHuHyKk8mo+U24FXsu2kbW+rgMm7sWnxfL
tzkU5favr5rprj6Ud5/GZFPBzbVGU7nWO+MDJnzHqpt8weoI1oThIxZzlEQCf6ltmtMOvmtNGnGt
/WkHRKjPtnDMlo/hAin3gE2ovCzjYF7HNEHHfW/qiVU56YZvdDZ4YhxgJo9BjfMoMnwjRkK42sGZ
c1N2QCpYP6e1fmSnsIqTgnuByp6hWoYVvmHCEq+XalwvWphA197FXEmnXiv+8sf1leulztaL3oG/
XRVn63cxQmPeYauKzS1Kt0TQ1LQJjBgIA/g2502BgJX1ozm7dtAQGD3pqdsGujG2JvKA785EEwyF
UEYMezo6tGGoAezvBR1dIxoreqC0IQ2GfIMVO9DH7CGG0eJi5biSsAx58Wqq1aaSPUwQu8u9GRCy
LWnoJ4tl7oicTPlyZ1vF28JCzvyIRwN6dj7tckJVh/NY5zH10TK5uxrjWxsxoJheatdvwOAjYVP7
MNEPKRz3J/yUw2vntkJcpabfSWQd4Wii/iqrh6qEgZtOENL27iLH5au7wADZjRNtp6j1w2m6mQpg
NZGLr6zbQdeaHxq4ZwkynTnk5pYEZhy8srDdqHQ4u21m5axCGOX6EDI0E/9tkMjyxLGtdqCKADSP
CnQpe5lNs7WXNYNHFwQJEBM5UPLRA3KLzUh26pMVz/0ZT0VFGG4huU08XyccLMJVRTYvrnz0PCOB
c4HI/Hsar03ilUX5jeITOVeXWzT8VTHoN8cNxg/Yjpm764wvuky6CqgbU3pOea5wkVBROW6nYej6
S8W3BsqjAgC7I+oSDUuBf2/jBj30+EY33Ue5LtJD1k3dxluXbm9dxMcf63m9Lu2oSFjlg3XBj9el
X66bAE4G9fhfFYzSgmrTQuxjhPCPgSBPCaDsCBcI/WZHTEaAfE3Q6LXpUT4hIlqc36yB5j8tgvjh
ASARSuU5Do/1O9MZcnSGO1TDQML9W5i/XwOA4lvQoUQ06OwKhws7k2V9b3WMTUPRn+69K4gtkHCS
4WFe5mNX1r9x8LDD/7rA8DOtQU4YagKPTfXdcvmPC5MBm3Qi68eHDwpYrcCMuCagk7k+pTJgyHTr
ZZvXC/hjmfuPyrN/r/b6/w3IZZpsvv97BXZSbyVErp9LsB9/40/yQkAOrr86FLHj+Stq4e81mAeb
C2skFldBQxRcG3fSnzWY4/8NdoZF0K3pcMDAzP2PGsz9G7J3Ylc8nMIYyv+zGuzdziS4f1EiA33g
53MtDjW/7ugNIGpW3gDFYabGS84U3mN1g0FvwXMCgLdJXZoAP12df1EwQYVbX/anDZEl1fcJcnVc
CzMgxd9a3PxUM1lOVfQgfkXUMoRensmfyutTZQQtzr4YVuh2GGTuXTXx3LaoSoPGv4VGY3JIdpy6
u+AUpMVhEyXCiZruN5pP6eOZGMSSLScnHklI4dp+JZ7eRL3HmRmWcp+GzT4v/Vm8BmXDsLoN0Xac
hcwqmKh23tY7vxumbVEUjCzagvNylLdW+0JM5/wVW67dbRZJvF5SCJrlMXqej0ORp8N+JGUBqXbI
0fcun0X7iFuwiLeIDRYPdw3k24iBTWyjdwudjy4o6ORgBB6BUXkxjVgtQjD09g6GFp+hzjMEoF3h
4QO2XdPAi0VmC5PrCc7ezPZJaXRZ5+x9uVV0HovI6nsmbiqupupBhllsbZtkCA+VqfU90Cjz1koS
xNYCa80rM/hbo5tSgvyWZLxuM1nv094bvMizR3+NsYFu5DbSae7i0W+qfYmyz3iUtj3bOzXaukS7
EAuGEJgR84OZmsXraNbeyyToC9ZWDxLTbav2NWiD/lagYvwMMRX5uAtumfUwW/igAO1CgmogI1Sf
RSMrPJydy4cuMXnnqIGhRlDLA4k+isLg13s7DbegXak3kSPiU8NgOyb0sO3HIS58d2/XJeCjGBXd
LmkdtVv0CJKAsUnY6btsnofhUVZ0EfgjVfe6avw3XjfPGB0lGQHMwf3lnBNYdVOswN1zgJHhyXca
M9ujg2QuSUsx/yIq1QXRlHVEDgKBs7zDZK8nC0QXjkATUNVFfwA2XC4p5p3Fjm/73BjGrwGzWdM+
h2GHOydykkW0GHtgieyhfwDi192Kg6xE06KpzPnPwnD47genc+ReZSWxLWiJs6a55a3njoRz6sBi
Z/hh3BNfa9rFXcdUtDjEMyZktMXYe/ODUjb3F9WfkPcTLd4ErxbGIz1uR8uyxzsB3Dd/rlriqa5c
bnvuQq9Y/3TUCAk7PfrzF4lTyIbjFBK0sIVdxCvHy+QT1NAXgYfnDjtNsACtHmN3WLZZSG/jBDjE
9z45iLRQ0ifg5/ewzlLjpYc5zwg5Hbib7WxpX4eMXszO6Eb8svOo+dTQFvjNpEWqUpOFlUZ6kJ18
nd3JqUkgy5otT0rjbjFGKpB8cxLWGxTh/H0DZ6k4NP5kFlDaeh4V0U40izH3l4AUVNoXd6PntNWT
wqiCBh09Lre0pG2yy8Mwy7aoMuVTxowFFvWc5/O2m6mnvnCOxvTgTchyDrXf1d+UNLLvJTiNB2Wh
BHtNa4yDuW5MtYeQeS4KE3clSVof7NwpyAJ1pfOUdJl/09Dkve7m8pgCD6MsiiYWyk3a9fnWGmYH
v5F/YAM/5YOlPmn40AfTg3CRuM/2XAwYGfiqFH1Vu6PlrAbt34VJU951DAI3GuCSIEEkmy52YcYf
hiXQ/a5Ave7fe1b9RKHyHUcqhOcmm9yDKJV50suA+Ik2MlcfgVLKYkybLXTGx9pkISwzq/kKghZ+
MqKJe5wmR3qU/d5P3JchR3hc16mz1QuNMnQ9Fd/ztY9vbps6JtTPUR7mro1Pfq0/16q6JSA+2Flq
ZHISG49GTnt+lOSNhOsXExL7wum9A5UVbjtjeh4zhstKpHuZMmcLstG/HsiV43YYDqu8ypgzk4Ac
k16nbm6Iv2JhRTLYwuNOshvkYh8QzTMtWLDSJpYi5Z0oN8Qs7UczMe1NURCNM18QvXnobJOzXsDV
ipROL5y73iuc07wS8/v4CusuvGWHvcDWyyVpSBwi+SoH+Rdme9FNSNdtdbHxMWKuyB/YwcZt3/DI
Jk51tlqW0XwJ9ixV7gvZHU8YJzjaVLU4phKnTIzE/ESH5JQoZLfkU17F8fCpXQxAEbWbcLJ2MNDh
ziO3YAw2YUibJNH2QWeYKcNga+PhAcj31QrCk2GSI5JZdtTKan6ldlbpJk75ltKR6AuCKfataVxZ
eYKaKN+z82NuCGeGJFOv5ijGA+Fs5yxPOT8spCQKtNL3nQg5Pdqqu3YS75ww8LjRCKUEc/9NWnEz
xaF+GQb/HhWwEWmZXanQPQ4BE1r6gzdWFrNwTyGyZyc/kGCUE2BgzUynyjsXBtkWPMPO8xw7OYdG
gSXOlWxURoEkxWjDz/kAuCdywOWCTx88pE2C9ZFB1AJkL5hW6Xiw7FxQdWaPg2ubIMNAsyoV2rFg
rt9GtbA0GS3xJNt2GnB0E0eJA6IbOtww5XgYzJqjb+3lz7OIx4ofNUHYZRLxmEWOl3wMQfHzaCwo
ugwTADuRh7o49/HUPtXKN9/Crko+hUbbehviQMJix6j1ipVjvu0lo2ky9oKPPidz8seK+i0FLmru
aVosW2LyCmZDLdds6pNtwqntmHgFzd8+t9t8pzsreJKtRvOW5mPaMnJ3kMKNYbOL2S+uiXlGBamT
JdkKBlivU6rMY09EwCcscx0WH3gKAIcZwRnFMOw99Ka32gzpenTlLkgMx466rCkLqDJJ431mtK9o
sqGLpCmgEw55FcWCiPCytIfWGzR2GrCryYITpDOT6XvY0ekPG/KasEMb2YsbEF5XWHHubTomYsjO
TRc6fRF3a1pkbHvDVnoxQ1BLlISH8DUGLyIv1U2VJYioa4uoRVITC3EPxpxMS0OQ/xatCW/bJJd4
QpfUo+Rqe/+gh9rGANant+TmyUNsjf7nkBnakXky1FSmLrC0EIv0UinAR2lebrwJXA2BM1MLCxF8
ZydAU2+4U+/9FpJrNOvF5thoFN01CbXZpkwHv8PaLNs9Bq4Oy9K8HImIx7QaxI15EtlEt9uUBbt+
kgxfiH6cD7bMzY9da9olS2JZAoZ1JrpVNXOHY4Ji4KPUpKkWlVYW6j4jlPQcMvHBH8NDF7oMBqtO
wT5n5iIw79JkN1hzGhnDZ0dJcW3mnX9OrKp5DCb/JSt7sZVyMMtIDBKUSFvfZEyaN6r2DpJ1kfGZ
VVgA+w3zqZextWOLJVM0Zra/dBPaSIr2+6x0sqPDAnpUaP9Pmd2Ue/ADLsth5kZgyeTF74z+UGs7
pNgph5Pq4UnaWeHdD9Ta97onQrWGjw+d1f2OBKA8tbgupqgL1ijGUvfNDh9PExJ1l5jXeaHF2ZN6
uUmtrMRhgTxH7JK4qr50gZToQYmjOQXhUN8sU7gnWCI++KiAiL1dtOTRtlXhPyijp8JKvDw+mMai
VgGI8RnRdAqiQaJSdcO2PPm0JOKjP5g0JtqSVBAiaQht85qL9JGiTu2YfmNPRdwUoNo9+OPUn2dC
bc8cr8ONPY50W2Z3vGfp0WuWYeYeUkG+HOKbXh8XEz7/YCw62BDV2W9JAcMvTU/mHMOS3+fWop6V
bRPBgO19RispoK4kudoj3LFfQw46zTeniT1BTJeHen7wFoVxOKTPIsDk7VvGM/TDHfzExIYQqRgM
XXBt9z44B10OD5wo8Rouhk/SKVQMuLbYT+DCaxbr2VmwipZCTk+jMIeBBzpIv6M15JYmJtf6xFzV
3Uhy+fDUzCHR5Q62p702SiwLwyhwRdVJQHQlk9zt0FXkydvD/LkdrTbfh0VKVEDvWdOtNxoBEclJ
kPVHT7n4+LFYN/5FLu59qZa1/1aEDXmsQ++fU9OunuhiO5u0rORZF/Z0BsOBdb4JMPf5+Rcc92hJ
FmUOV26zRpLxVt29MZFLl6Psi8IeKImVkc9SiCKBeY/JEyWTjIsNzUGEpAbupMjKCPLY6Bgd+G6g
3EluU77+JBpbVPcz0iAON8jMIzI4qwyxno98mDvzyCDkbW2gPZAeWhZ76CH4nSnF1MZRbXk9xrVx
ItUrudKpTjd6yD7EXppdWNXNS1At7s2Q9SZSZw/JU4DXa9BufO2wit+6Yw0nJsgMaoAke3bHjmyJ
DhZJM1vpNbRn8n1y2/kS6KV9oQ8uryYo+vewcAt80MFzDsX5JGa7uHLpAT4DFpD7pZ2yncJedjCw
XRxjy+qTPWsQcV7A98uowpAX4fEfrwuFUiwlxLXZNYyk3W7hbtYQB2qnmx5w4XsHhEEUGkzj036L
N0fqi8uBcpcSkbG1HdNsI2BK7mGyuuHEUN9WRF/Gxn7tdjBd98ij4ZExjl01Nnu7r/EH4jhueVPw
0FEbMvdHzNC4HzwZkJZQc+7OE55a7SqLTXyR66nSLOjB84ELZSZ38eR5+4rJwHXZ1f6HBJT39zw0
/D5SKOZuK9HfcoCUeI35aXdhOTgbMawKqQJd52ZShobJlFMrGp5qxCUI6pwNJ3D4tlogslm/PKg+
d9FcUtkfytEo7jy/GcLIcBL8oAIB3hQlOEHsiCyG9KzLkeEvXJJlh9VA0bcvs69dAx2l0k67n9PM
ASJTMcne151n0+x2rfWG5Jh5Gf2RfIaWo+WVoWr/NEuk+Z1HTAIMBHXrgED77M3afZzHmdm2lGu4
gpawFDLtzDsx50CbEw4YWZT2wZDs6LoSXoF99IWsr+7VLROFZMWxH0wUIzuXjMETCFm0okikuSHJ
LHnSoyTVxqsnB+9Q0YTfiaTOn4Twv1XJxK67ZuOA6ZIDZiqrD91I0kJ4wVPUI3TNW/tLL5S/tcGz
ULEr/Mr9lE6cT5kkXNKFkYLss2Fv9ClJJUVJOFLXiWRDuEpGvLZUzZ53RhaRmdXWot2N/ZyoG8PV
8oXNrTrJsbdv9DKpY290zarQCNEvT2NdPoZ5UlyXdpk9Vd5c3BBM2EVkwS1c/eDi87WcY3rme5AD
k0mOVaElByAazVEvivxrKUtSQEqd2V8wLhRvZWUQ/5EQi8pgdzq3QCwOeV03J9GHGTGsGKJMEv7I
EWEvTsZ71TNEZAbiV9NJD6b7iBTFGo6tpeoXNfCl088u7KuxECC+OE3DYGEBROwwA1LeL6UCkq7J
aT4gg+0yOvtFdp9bnIkwsVnep9JMSixxU4WWzFpayVx9zlV59JnjmftSSf/z2AZjd4U7cfE3wbxM
NrLqtH4r67l7E0a1PE9CEyw1NUCUeIyoS7l6qdFfj049Y5ssisq5FMU87qs8wNYGwLijmC/Ecuyp
OL9TnK0SfD+1msjIjOzaQgOvEfTxiE12Zb7SnUIUr3CiXYhsjF86oBLs32J1Y8rm64hRICUbNexc
7qxZvhUAOM8jqPie88Ta33LLgf+uQDx8YV8Y0tNo4LoBcDO0W1bL/jmDgkYHK7VzYPC0XI4Emy/9
RmXtcDaChVg9kv2eMoUNAItOT/0YmumLboPynCMaM6Fdu8kbic80FlwjRiVEEK9Br2EamUedVnnG
y+BZaOvShUkbGfE+nYFiBjC4M9Frkc+i1rnVaq9Ltx2LOm2KlMCEjarM7NMEyaLY9LqhE7Fm57H/
V5hhNkjkzfYcSxyDm2ZM+y/8bYp+iEXIAYuyfUUJEV9q2cYjR4e8aIsdZzdepMWgOsPw6cSwL1vf
obKfJbQtWTnPAZlvIBE6/hjPpM3NGw5oxhO7ysE4/Ph14tTXD7r2TqwMVRfRWgjGaibAIXihEv2I
KypCdcae3Try4kqLluEpWKhjKYlmRSueoH+7rRIm5huLNBIBqWHxlupShsPoW1E7j7SdbCRLy96v
GlgqzYTC9c5DtEjONmPnVwLOuFYtqgOEJAwAJ4yGOLsQ8LDPPNtWjcqG469dPvdMxFcXYRuoo0o1
u5CRlzM/INN6u7iWbmhh16l9WjB/gA//aOXQv+IiWSqnFaSrPiuv0tzI3G3d+XGzCyEQ5EcxGhjY
PFfn0/0Ud+2r4dr8gJabc/n+6O1gs+CnMtCLyf0oBd+B1yZ8OM8m0pqKdOyKnXTRVx5md+loeY19
yIXSTJ0Ib5Q2r4/hnBedwN00t4aJNgp9dmFW2CO6Sr6WPkkCEY6wBdICyv/pnuUyyQ8MoJzi2nB6
vitk6nzSap4cJAEzvpDixmTpqa4GXegXCn+pPuBajftnU4qlJZDbb9YNLYnVQQvH7zY9szBeATiM
d+hHhGs34Y+PGgSh9k60AY0OFzxiX7Z0nNRY41hREPKF0yVA6IYS2rNp28EzjJ3NaLS1Jh294SNO
JboMjIF6nCiQAFxkGj1cL53qykBZF2GHcz4gnbU4pQb5sXLNfUFEVvVEJC7C6f8SVlrTbgO/CBsU
lkMtyPtjs8tle+uMtdngmJTub2QP66j8p8mBJQIYvgEzNqjNEAT/CSA3JqjLM5u7lgHlbT3ZTP9U
NXjYPoXfZ3vb1JX6DVXxx3z+lzfl74YW+SQk6jCV8d6NKyim0cdQPDFDNdpXunfod2PuBoQ5JQki
enHPziw7cpsGAzJcqWvD2M+0WiIy7Lr7cqzQQSL6dXe5VeuonkS1n+3O/dQhthq3brpKlbulZbOf
FdJTDi4qeHY8Y3gEG5HuQ7Mzz6oxTKKaURH+TiL2XkrCcwkXnDE9g0PLZhb06zRmMazWZPsggJjO
Jvd2059ILum20gb63I/OeG1DXsSXnXRPfz0K+qdvk2waW6CMoJ1gr6OoX9+541EbspoodDTxFJZF
6Z3oGqffUrflABEygfodDPU9vZP7hqIVIZy7DuRM2NO/vmW/ovFRBEsWiTK+WUD50XYywvMEGhnX
fhwGVxVurVvDHdpzTbRDRP+e3CmhUV3uDdWgLU9T29K/ucnej5X5CtacHmZ+q0gPHdGvP1fNWLvo
2NDRNFvTXVCRwZin/erk/AGV/Ovrvn6jv97QAcxbn/5mwPCN5+nXNwtn1MEEj+oIAjaHq7RsbU0O
Q+Kc/vp93n8o02JWbvnoebmzQEuuc+uf5nzzsOQ5z1TDwynptgt6ReWuR+MKAasinec3s/n3NzJv
Z3EfWTYTUuYA4bvRfD2bWc161CDjWTeebMqYPcwzTaAD4EYWfXLt1iYUGwOd5YUaa/vXnxcC2bsr
y6wTAivsW5eRqvfH7//0ibMRO3XBXAjRsur0SyrLxdjljqM8JpBGckvN4Qw7QyYt04JUFq/xgvqX
Hk8HQUv7vaA5iBsqhH6fLTckbBLBF9d+0O5wMuJYtYM8yzexQkiM8DUeaLIp1g9waGPGGWOxliP2
3dHnQIwLmwZw7ZfRLBpLHNFLGOnW1Yq1/4+xjDsoNloGCWsN6tiMmCx60z0jAadHv25M8lOQzE52
qSlkLbyCrtdujdKb52NfKqHuyvEH6lSSFPjM2YINlckN08EOtALDq4H43W1QC6681DFGz0nAi0aG
H/PvZjCAD2AJwm0If/s+CWd+tXN9TPv9aPs6cljxzMMo0DCQz5tSDVjgDgCN9Co7KFvxVbKuJW9J
O7XxngjY4Fz1kkawo3x9lQdF+B1yIRs41zijBogZM5y1IkP4pQ5jEOx9mqYfll4t974xKzZTSGhI
JsqYqZRF/728yvqWDb1EPVheqcCYlmPqzrP+5pYOVXQTptp4nHI7Vqe5GdjuJd4KmhOtneMfWYKs
2jd2wOvYGZ2knbV09RwRBzlVEDFSqqjCDrhQ9GlgQU0592zMNGc5xjIx1ElVExt0hQqWed6PeuR/
mDuT5UiVdUu/S825Ru8wqElARKgLSakmJeUESzVJ3zvg8PT3I/ctq1Qoj2TbalLnmO3BbpIAHG/+
f61voX/x0zNSkbFKp5aklNpXSukn0pj08hzZe+kCtG8pXw/+3LRbECPrniW1uchAgwanPHp2MDRx
mvon9PZ+P4SViiFog3cMmpofu7DHz9AIj1jfJPaHp37JcFybjYqoNE8+UBJfPJgWUbpmhrr6bEYM
dhlJScpy1JDN3ESa9zPK1aHPKnoLbpXNl4Zrc4AsetjXZ//s0tSUQbBEc29vtHYsQ5vK5i+jzs1v
c5wbNl5uYTthVFYLNqi2ATXz+cd6pH0wDZepgi0U2k3hEI+FMOPPyYkgw7yxkIOhnUrZ08f0FL9x
j8xTHjFkOm7W5DLzBh7g59c9nnyBF9sss4Lrm2wnjncTOLb0IsLhtSkKn/k91igthzWn2+vPr3O8
uBq+g0jE468Wl/TE0WxIKyohdYJCSEX26/lqeVz4eNeub1F1T2OcktP8+RXX6fzPZQUtAyU0gwuv
6mA0Hu+fKJVce5RZ3W1srODfE98o3zLd6toT8l8dOFAVEchwYdAXn0eLUT9KPsNfn/+EDyuOj9TG
tX0dBTPSEu9I0AJDIFNlTkN2SVL/CkQHxo1YWW/+3PFRf36tDwOIazk8Y0SdCDQMcaT8TbCO2p0t
yI1b6vzZcaK0JfS84G/4Y90gT/bU6z+Kh39/XbIIBI0xAl3M31ucP9aYBcAJwDOXdtjkwYyeORxR
wBPwfVbaluXMr2U8M7I+vyof5NHrNXXTRqUEAMNiy2gfK99Yiyq3j2DKUBEqrnQde9Rs63CHc4xe
zda0a/c1Fbn65aS18epociwCM/P6nz1KT7nVvLl9NTH3mFskJM45diqa7E3kF98EyZT3DSm8F4RB
ARKCsJx99+kR/ywBDcrVge9B/aDoxgoIj6MBVNtMIfywEW2WtyppUl+dOXwMdWhO/vwT1XDfBlqm
tdkFkyadn9atnyeJaWZPDJQ6RTJRedfKEKwiBFjG6WNNLLOURIq3MEg2mGdKaw/thvVjYL3Wgob+
Vkm/pcQlISlVDW++KZkd+shbmrOphvhHlwuh7Ak6GCbTxM4kxEcI8LiYfx/fscPy96vfNR+U1JQ4
S47g3rU9zvwJcQEd4RJIQ3STi9igu7pMUi/PBpe8u23vyQZRz1CWHEXNFcUKDrGGaIk56TomLhq1
h2ejIVkapvOCtt+hHYlh2qWLzfxSTZl21dO2v8WPv/64GDhXQSv1NZPVWvhKff2qd0rJjaCeoRSM
dSz0CdvdO3mBBteqkNtgBvxVFJZTIRYZY9bj2QN/jSXR1RFqZhSSndwmw7prBhtKTjVTeNSc6AHt
fSV2czmQwku27GOPO/O747Hgh57mOs0ZFCXnvOpiG2ZMknnptvK9ft9l69CWiORO6CJ7LvaoiJVp
zmxpB56axu68zxc0Yw1BEf9M1Q5Fu44PI9Lyi39qNRmcwP6pAarLq/I9luomTtkm/fPv06BZI+5T
R3gXqew8+4Ksu/xRkd0bCs9VzYmcybwNMQNqTxptkzsb9QtFHVuPlh+oVfLzytBqeB6NhrtYsvsE
s+s7u2n2JwntQEVloKMyjw5ZRV1415WyRwo8dGV5SKGLQ/BVLoRKB90NAfWWw2D+R5WydDM/uSLN
rdm7pUchmUw9/N/CahKSv/lGiFf4/XIz+DJL0Lhd7QO+UWr/+Zf/8bt32NUSW4E+0DXQLL6f1itk
cr5UGenQPsUPjGxNrn2rZbNUz78v9K8kpP8vDp//D807PgeE/ywd3Xfp20vyVn0I7uK/+kc+apLg
ajsGsTcm0y/nCV4OJGD5v/8X2a4WqANLNylJCP4VlsL/Ix81/kusp3lSFpipHaCX/1c+av8XThUm
Qt/FX0ETwPw3Fp5jnj8LLKsfHiOI/nAXiJ54PzQmeEIVHzCppqjLQNy5y5Wvtwn6H1+y3e2GS1tM
47cmtrS9HIYUfhZugz8e2fU/+4s/DTgflnx+A+pZB8zo7/rM0TKs3HSyyq5l5hhQHtWL3l4KQ+vO
G7zXX2xwjr+E9Xb5H3fLMRJ77tEGBxc7cnQ0MYhwalBWeQXvvWrJEPtirbWPchJMw0fPzddGz55P
jgLJ++eaSzaIns491SoiqHCp1QnH+BZQLWG0l5MoMzqZUZuh46jAj9DJLXF9t2KYXxxnzg7dPDl3
ESj8ObTcrmkDjwj0u3w2lHEyjZVjBO0kSeyMayPpN5ImMgpQQcdgq2stNtB54sSyqlCbJ2ypzhaU
UZVuVWFY/TZu5fQqSLbaIs9ZYwWzHOxcQtuJpMxZOfMW7RncXyN2m/Oukvay67QSwwUGe5FsOeI2
9hn2nj75ooTy4e1Qx8I541B2JVDYPN6PKcssIqHRfEpi9eJiQd3RC8jPPh9tH/T/fId8jez5LJeT
54cIi7YdOONrOZSMuEfoFtvT+RxB1Zz5WO790eq2hgZ8Ex1rnZ34MfrbySvjIO1InMgNOYQlnp9A
enAqJ1QU/hdD53jXz6Z3rWzx/a+1F3s1A/55qqGKJAuIgTFaZaymDR1FVNYa7Ya27fRtUmTa3ecP
xDweq1yRbSFrFA+E/bBzZD5QpXJoDs1E7dZjem+w+yZpV19KZC9F+xLndkOuAovVgzCTpqaCMQ7P
oD3cdGtkKeYuMTnJmSnJZ92NeemCiu3sNRauaOafXrSYyb4x85nGaN/DDNebBhnu57fwl2cG6k6n
z2DZayj20Wc9LFUm4U0zcPTyfqG0sU9tIOgYZw+N6b9+frHj6YrH5duCHhcTMOnXa97iny9IAx9a
LBaruZ1bIMXtBUt1VcxXlRZZF59f6rd8/88D2Xotsh1tDioAxFkO3l8rIdRBcwctgpqc0n0piwbV
4sgHvnVyA2VK67nodCLf4GiONT9+W/CpXKt49kQAWB3BvV7EOvRJV8u8U4PUsfveVwK2NNDgwMlb
y9yQe5s7oW6j3g51fy4uYyAEQyCdlHQCW5TgKqd0HK8BB3RY0S0IoNvRNKUWzFGvz2udoaXLFFfm
tbTdyL/iH4IpW2bnWTko9REAas0ZUE/s7nSimKikWy+IhNNEv+wZJMnJmLTJ/7iN/2Mi4gd36vrs
hKCSR46pwN559J5yz29JycLMY1ODawPDXPfunqk4L3iQA+4JhegeYzA74C57ia55NIBVtZixr1Zd
JQyNnn1yOljdM/uy6LEvK/faxat2LdzRJoQ8m3Jz1yVgmhCM5nLTtl7+8/MBsFpI3p3I15tgBBDt
43FWdd11MP5xVJT4A0bwDqwj+A/LHdnO4zlBy3UY+0RGoLKjOohlxdvT3pBhbxtrNIBGUoHbRgHy
4AzuYzy6Z1AOh3vLbSyMfyw7YUkbLPniK1wf6PFgpfbNeVowf+Ece/9bI69jnlkn1gy8WmhkJFc4
vci2nz+SdeV8fxVTZ5+AYVbYa+PhqEDQpMqNo3al8jZACisQIBcGLVeSJZq624p8Kjc08Sz+ked2
X1RkPmyXTBaP1QAKoZ2vEqb2+1vsu3kcKbaj3kYG+ty6FjirpJkvMYDG93U8FBUNT4Qb80ReCXnX
mkpDU3eGL37Hx/mOX+BhwLFcigj+8YaewAxMKDbbGA1h3S7psxbRVdts7LnKqw0MKfeLlflvF6Rb
52CAohPArvT9faulGkdLp4tizokEMVS7J9JtqTcqFHhKivLu85f8cSjRpWPWo6vlQm47nvco7GfJ
MMs4mApkTI0xVkHPdu5fD1iuwjbQQZfFCdc8epuFoqcPtohlo/Ptk34ilwlwqfhie/vXeyF2kvYY
G4N/vFR/fMKTR/V/9rkXHCTEbKNSRR7Lpf79ExOmQ3VdpxNMRfT9GyojpuiRHJAAFdUS2i0IcXRC
xRcf39/uhUok4i326zYd0vdXceISy/DEdAQRrhg3DtqLE6TF6ubzm/n4jVt8ZoIlj+qq5fye2v94
ZLqpUscteTHQP4FAWivZkn91n2e5CxO1m6ktQeslavOrkuDvO3g/vVgcQizWdnZhWNePtl+Nmqy2
i5jE5pY/XAf0fCdbbdihD6m2NaU72PJyCRY5VLvBfukL/45NUBREEXnZnz+Fdb48+ikWTUWmb46N
9OCO5lNHmaAVSXxYHzahGG0tNrNlNyc+peYv0ll/D/X31+KwwkmUZ22wgTr26xMm2Sk6ARHuksX/
zteOvhnkL3kCnBxsuFwQU8QuxYlwhqQ6xeJcZNFFadWRxTlhSL43chLRVcmfcqPsAaEWXTbCLErI
0QiqO1wmmJZTWQY+OrRqQ8VsxPNj5GAz+4H+LKp9fZQrdJbnWGSgKnu9s05sD7jYF5/9x+dKexFq
Bg3U9ZB2HCasYFJOc2T6mxh2066KLSPQYokq2HLLL77Kj/Mm2wca41g8VgWCdTRvcloolG1I/C5l
o78RjyTp8cXgq03/V91Wcv9vRwx2UhtDJmcHn7FzNGKo0ZcWNUewjzMow0xrCNeFo2gAtDD0/8lq
/48bLOPIBMpayE3RAGENNj2QIkfnhhIMLkTTDIqXuQYF6KI6k17fnC1NEe3IDdJ3uPgEsH/PvBl6
vzslI1oPc4Po5s9v++N0QVWL9rSP2ZZHfXxutEYPyG3L4BXj3DyYMdalVHU4QZD5WAN0pWg5LQrU
GwYatC+26B8H0zqvU0tnbv/LmTWfbcCCA49cNrkNM4RzPYryNkg09dUDP558bYsCMBQIhi75Hf6H
U05UJjndUUSH2fBiVKAWI2HGXwyh30v5nzMBBw2HUyAKdG7M4P/vp/gsJ8mhrJGdNQsNRIgUfrSf
YVZrm5HK5ITPNHesk7GYdUw+5Lyz44FRPMMPUIaD28PDgGHLxO0DCHLwxpqOfB8YY5Twk0lhNWIy
cIawIoxhtTtgPhkLXIebpVum+jom2K/ZYVWDhvv5IDl+UdwXR1yBrICSGp/k8aco3MZoh7ENMgEl
NF4ySO0q0S5Gi4rv55f6+KIot7oIqPn4cWUf97BQC4BsW7QmIHFNnigNNGm9Wj0+v8qHAw6Dnebn
qoeB0MgZ4ehNzQk1nKEgo8ypxvZJFYQ+INucNJJOXWe6GqFze4Huj8Ot7Kua+XzUmAroWvdAeyXO
j9qSCyUflxbNhvxQrSN2K10thPZUOiEtKvC2UBA6azNZViUhgMV40oYli77aX37YWHMvFB4oGtA7
NIgJXyfSP1Z8H7/g0mYZytEiuzP8svvZTxDh7TkVZ3Zvs/Qqx7xR0N/uooR0OtdsrC9ygT++NT6w
VepCI1A4HBzf/4ShRCWAyZtsoGgktyOKGuYLDFqfv7W/XIVtIHe49lm50NE+jRQYQpbImFi701j9
CL0HRD/q2y+u8rfL0OijdIyehtniaLQnErvAUBUgVgTaRFrxdCoILMq7WwDf6klM/XhFe7O/gVCj
Lit87PeNwkK+75BvI+i1sDxQAWMjtGHun0760UNuPRaN/qsdl+4QLVHhQlhc9HjXZQQBR904kRmF
2xktq4ZbHH+4EPfUr0diK5uoIeUHSO1m7NrokJLn8FAXFSFKU4T1J4h7pQ4LTAEvAIxCZHo/jcVT
hiNHnsK0Rm4RVe34TJbf8oKhnYacMdguQtHRr+4LfI0h4DxkSp8/xQ8rnG1BbhBrM1rwVzgH74dE
vowcfAzVkUnQTw+tKP1fQyqKk7SNvDuE6biozb5WWz/1k+eopIACjQafjj8sQ/PVj1mX0/cTM/Ut
ytYOo5PDnzhabpuZMPlYw3og/NoZLhYbWA3SDNj7uIESclemZATm2QnE49vGHFzCbIdSmNc63Ji7
z5/MP1uJo1/DCGanyPNxTOah949mKAdDxvFqysICQ6uARBeqVH6B9l0VExZ7tqqgLEmMQ03ArPRE
m1JCss+F9lSms34vh9p8sPFu3pb5Sn3yq+K+GMylCH1tmB4MHQMUBZHoLnKgTYQWzbQDQgsCC9m6
EVql0CigZO21+LruaWCDHdLcmrnLyrwzB7rkAYiFBaPb0H6VVle0wWg6Q7Glgxh9l3ON89ekY33a
G9J/YZvmARHi07C2ibfY6J/L2rIgGCeCuEoWZsrrfpk9s3Z6Z0imjXkzm/UaE0K55S012+kWjY0d
bW0dgtFmah0EBBbD9xHmYrzsKpFUP1qHYU0B1EiIddELyqokfYhxZ7Sz89IKv+BLAb85hISid+6u
AsdLybn2CzuUtaf0YO3vThdq1Iv01MPf9gPlGDmbjptU321K5XwQsauPZ35c5FgtzGkCgTHKqNmb
Y4IEOGt9vdqoMQdmU5ocTEN0v/59X1Wgz9Msa24Gq+7ugXUTr7vQCMLElsysXLRtyUaEzvgdsxba
fwIr87fGnOQPevcEsUU9ErYYiWUC+3GpXnTlopaCXjqf2jEQQL6I2u3DLgMx5FuVr4K2rrW3Vmot
1py0InZmlcajDUBNc9o7JmX2vCogxJp94aUo0WrAUqxL4pnEOPUNsLr/zRED8eEeTdaRUiRgZmkw
fjY1Lfk4sGRX/CwdUPKbLFuWQwUPZNmPgy4vqVxUj+TtZA9tU+fEhMydQUDIQHNoB+odZSjkTWIk
K4v65XmdtBBrhRWVh7orfTBWynQHKqWY1HCeluWlX7a9t10qi2VKJ5qtuxwGq5zDArIsSyopM1Xo
gDvAv+e1LdzYqOdWdRT5xtbEt0VAgeUzhZX9IN7qxcF2aNcmWVM1RAoCpd3BdYPIpsp7JawZRbln
VaXY49J2XSBZRMMBe+hyGcyUocM2zwhvkqOTGhuhS/Kic/hU447sQvOUbJxufXikqhK4K3UCofVF
AIhPpzy0q74/16D6teCkgZ/uVBnJuwYeNa2BMkse666RAnf5Mv4okd8RSixUm+wGV0RY7NiaX4C8
Tu6hHyTd92FELRo4VjNlWz+3iajGixgj/0g8FOy4TDOspw4HvSDJDY7VeNn87pyianOfok9DvjWa
xHCVi9l8KwTe63UzML+p0RPneQPrbQ+QdLyDHd/1gdawp+TnlNWTHI0E3bYS/UVM1gfr0Fhqp0bq
iCfcxMOjajzyU9fFXqdknkk+bEMibkIpkt8N+uxiuZldiZNCgn+GAeMn+yJn0xOkma0G/Jk2KTsS
0G4fGmpQTzUdf2JWm3G+TtVKEkHHPthnTVOY+hl+6VKe63Hs0NzLCEqu0afhNR3z6iY1cSOfTo2m
3JAv2LfOSYIQdcBZiwDSqOOgF7a99PcSE/iyKVWBz7N3FbajBE9nF1Kvrg9zgWUOv1XmzxzzBrjX
aUYkgA8nQezI5JrmwPPm5FXF7UIkgRcReuDiRXYrH5qARWUqmIHOPbOJxwQb0cC+LuKx8UNaC+zH
cq80X+LEtkVgkfsN/LRjCdwYtAEOEzCELS5cBUaEaYAUiyapFC016Gy7wRNJc6onEv6E9MayOdH1
Mr2X0rQRsSJhsTcisnIrYAqfcHT6Eufj6KuF5iXkZVJIE1rnSEHzqt3ZPtZfJn5C2baqGXpSVxDZ
BqY5WaSJlq7UT1Sb6+22RdtyI5Z2fiuAyBY7IaX1aMs5aQNyA1g8JoQyWdArE7o+cTngb+tuAf9F
WqXOzAjtAiY+oMJw6HN7uUZAnjwPovCmC8dn0TuRCGbGwJEr8gQKDktwxnEMSBHumDDXRw+w95Au
v5banW6VqXFiMmMn9jfKpRViwA6INW8/ZkMLQD3D1tQaB0oe+H6j8RwgJofWUiccIwUQEz/DPngu
HW1fxbQmMhh6JZ87xki1bWzy7vPhrkrFtZLVnTcyZmiEEYECZ6Z5Kuz8lOPJdsrzNz3NdggpTx1s
Dx79TBCbl5iX6Y/5Rejh6ysZy55Tr6Zhf78mmwM3f+hZ3O2mP5+NKLuts/RyIgbZcYvnTBD90dWH
xXiqB4Ity61nvRhSbkpDnNr8CeT8YoBLcHyR3VEosROpl4dokg2eKllMi9U5xPZyG5u4iqwfmBXW
ABtKpE2kXw0EHSBSMZLhBuE0mzzOwuqEovY5JTv+XatlXnMMbBq9Xl7HkVCh3rb7VPR3GAN2AK9D
PCT1IUIF5QhijekSfbOxtkvNxgGiylto3A/sN+4gBqysvmT6oVeiO9Fnsa/n5YebONu29w+xiaTJ
624ss7x3gII7KRGoOHKBhMTfMmI4nfzeIwjSKTt4Ca6/weoUnzPKyGGefuVtfCbYJkYlSWBlLO+N
Jj7YiUlEnZqWvbUkp72yPNpg0y1RnPtp1IDeEzrb6dZ91Gc/jdXwL00nLIA4EGm/i+gmkJxa7TDH
PyrNvDZIv8kS2gB6rd/irQ59P6qCxnMolGqh4DYhSi7mXtbJrUXEEMIsnJvovjZlsmxbrYj5Gddu
6TyOxvSgtY8W6DDCT17wMb72ADU2GJIOZqYu4gwD3ATIxS+vCF0egkIzTrPYsH54KS9erSgmbVIk
a1Uhht/zaeEssGSwivTXmgG0bYvlNbV+EIuwn5z5aoqdh4LvaTO4abi4+kk8OO3NZHjeSOXErUmy
M6et7gHbJjJgJvmVs+feaVtgJjFRTY3snkytr0Mab9cFDvYa+IjIYn2Vaj3z4V+RXVQQbEaq3SCY
4tpa3QzdBIPCki/5kIPESPH1EcpVQgvZKEECQF0dJtnoFx1Q/h0Ls/eQMHTsU31yMNDYJ97cn+iR
sk68prvIR7qZaM5ax643soYsX1japZsBcUV9Tr8uVScR+5g9HoFXzlcwpcruLTPLO9DYRPYSsNv3
P8GAac2mbxqhn07E5kSU1BGmBVVdRyQtOOq7W1naDxMZwmtpFiSwmmC3SC5lDxITjpCtojIj9nFi
Nyah1ZxJ2EOywfLRoM3tjfKT1j/tJQ7RQNdnUpPB1pBCgNIMOgXmhhSWjimXx2wh8w7p3pxWIQl5
fh90yZhfCq91je0MUumhsNa1hXDxmp8nbPcNF4ALwSarpzHwu1rfyyy2qYw3mhHakH2uIt8h0aHk
q8B8ibCDSDFv1br4zAbPBHuZz7petzZhSf1ib71yJKQEzUXHdrMx8LTNVUIU+4RPbORkUbZQt0hG
2epLJ4GtLtXEHOnltYU+3jJ+lrpdfWvNRN3Y7jRmuzxOqDCjjeymwChy4jx0QpS8sCVs5TUhVfGH
tImAAyFbt9/EyMcVtkVOhHLn5RPT1xrQiAd1JgySAsSZrHDuM3qWqgjh4LBtzBNs6JtULPBYa3It
26AvyDPAH922JbQ3NycZBVQr6yDwNoAh2yVPMR9VuaURVtG6IxqTaXDSwLAV2xBHGd1L09twcarS
c298p0UyT0vdxcrHcqLwdhJWQJETd8wumZoJxoXrGb/myLZKPrVudDZxi58evYgv8AFPFlmNQCbY
3U5mXuK5o7oy4tZY0B3Nxmjd4M3W68uWCRZLMHs0saX/EZ+TepwaoYVJGF2kNji/sqrl9dXtED/Y
I8DqjSOK5NnwNYPQ41x23zUJ+IEkQ+zsCGxm+lxwbrhtgHty05t9dhBwFthrZeA/NnksQIDUgATq
YMKdDCFWtCVjx2/664VuWbtNlbHcFxnKm5AGf/Qdcmv17GgpFjvNqYyfZoQ4HmiYjleR+ushny2j
PAVEXbItg9LkBCkWT1p7FelSOzabY3xWt+SOQLGNARTaIFVJpPEtndBhIb2TJWO3DZbET29ygpbO
tbaoH0TejJc6rkHBJknylGl44SyQ1UQaTl/rHuHXxGOgxlrogTg1fLFgyCPzB5O3CTDUWFjZPaBX
gOMcYqwCm8DLCpdaE59m5Zg+xqqyQMlnqRgDr3TRbCnTGp51O66vdVhCfNg2Ie2uSXjxlBd1tsmK
tY2IqMOh1R/xNYLSqLxHBPo5QobZKwmiqprptLeMYt0h4StJCSvUoTigAgqdLEq/aXE/+CGlFxqE
qTtkV5E7+Ujus5mcBdKFx8vOKj2wG101PXPOSBFOWIuUu2bM64MhMMRvSBdKnhv+g0c3t0TJGuyZ
bdjS06XmW9Yee4heqzdAa315bURF9XPxicrajINm/qzdqD6gdxkMbJUahRuNjfcLjIjhG5yBhZOB
KA1vD8wQ/E8XeZRg2HY2QxhlJsZCb+IotpPLYIhNZ+uFtdNqTEUYDkcyZZpldJyTuEEnd02/rGtC
wv+GF2TxKNHBivm3RMtV1/yx41Nh1BzlAULOt4nPNhcu8ECskde38pfRVhGZw1n/JEk7iaEIrnMT
nEnBIYjoM3cD4MgfD9kkk5OOsKtiF+tz3GCQI40a9zbhwhvIdJQ95rmH7jGl+H4IhlwIRPd8I30w
4qR4iIjhYNYQin82N3lHw8QtrzqtAMkiGS+AMHB+QSKiVCA2TYmseGPJcsLbpCX5dpw904HmwJE9
sGK83iFhgdGpF3Oo4SiB83lDN1h/nQThYuEIG+ChbuyaSG2/EHrgukNytpASSvCmNkkvFBkDAFOL
UmTdm6W7LwXa7L6kftKNuPwnBKPnOqdUCumOdyj0IR34cI3hJVVjVW0q9BPFhiHYn/e6BhgJqs0A
CQ3t/RJ0Vq0xmXeZeiEqmrmf9IWInW2uhu/saLV+a2BOJmh+cRSrCkkh12Ae4ztSA/v7uicjBG1g
OdlbKhaMCXAeLNy+ot4RSm0WcpesNLJgMpQP37zIFTmegNbxo4E32NSOk0BWqj19DfxkjVRQR6cg
c0kvDKfFj68TMdc9nodZo90h89nf9KPDWaT369HbLLYmz+mvW/a2KDmMhE0yioNuZxowAqMVT23l
4sZEg6r/nJnP4Mg0nf40uN3yZs5j8xzFkd2fLqoVBzm5idhYUxx9g0BC7F4xd/IWe6psg6JPGWJE
4zRFmNkibvccotcKl6Vnb0YxGAwGkBRzOPVUnzaQ+YZnIvVSSO6kyZJxqVo/DfsY4iH7iUHuQT91
ejD1y0D2iDuAPqEy2GBW04B6sXhVGXJwDKfYtFo2s+hWl35PFtsS5qSgXUF1KestmdZsbpJ4tLRt
TW3ZYVyxfoU1wLFrp2sYDG6PdniDxc1Kg2xeBqxr2rKQ0dIZxWMpB+fV0FlkWJ8Gkz2z1bCCa9RL
lQn3dW8vbv0jI5LL2gqFNn4utKU9Gco5f6H+6B4slcvLuncZUzl7YpdCYzf99HBoHwjEociEbu13
49nWyn+p4WCJ+S2eFy7Kn1Ud8L7ayRJXacZM95qw5Patrwr/GQj8Vz71D0X7tVEMZZ5eCOb4D6oX
nFZlk4H0CKSM0guqVJI8NhKFP6/dfuwb0fyidrDKvWka4TB7fzPsovwaHmkVeLlZbRrP9EFZzN2r
U0KzRK7pHypViWDpEkYIoU0HgGPskUFEwFpFYabBoxvjMMc0up91KbxgibTlnApGclYUot/3ynNu
bXeetjErcfj5z//Qx1t/Pa47GqB0fJFivf/1aW32OFKhME3p6njXLWjdBGyHvdN/JSv94DXntYPw
odZOvxBc83GHW/VJFM3kKgZM9KS/gUhNK3oVk+9vSO4dfvXC6dWe5mjRhKmemucMfwO1pY0ij/an
nn5Hew+rTzLgv+g7f+xN8Nss1IFrDx7btH/UMSuNdjIAJtVBrChL7QwS0bYKT8wvp8lrSCKtT5Gx
zglH3S3zXLJoUpsg2ZXYofNmWivon7+Xvwxe2ndCX917qx7gSJdnZhgCoyzNA7+vsnNFvtOB+tEX
OpW/XcQSON5NGkfAuNd//keb0BhBPnO6wdHV5+m2K5hL8rJOvtATfJCI2ywSoG4cmj74M7xjmZMJ
tLmjGtoEXRY3hxl3Jpul3n6oFMVaiLsEDGe+dYWlyqPBZlZbDU6TOShKaRwgz1oke+HcQ4K1bc4d
nz/nj+N//W2uTvoCNQXjuPGigIoBeW4IlV4rvGbVJTsHx1nlEY7w+ZVWSvr7jhOPwUEZ6pkeHhb/
+FNDrZKZXUR+ta8AR5Ga3IlfPkbXwCnrDCHPCHd7PQPVmSt3Ln7+QA55/LTgRIIcRTLIZhQSY1ls
Edeq8urMk5BuIbwUu7ozo/svfu7acnrXkuLnUvlB1W8h8Wduez84FLqEwiiwJGt2QtB71tKxFmS8
KhIKToc06XZJoYEJZk0+c/nxW/bbw1mqRw9+SaBazg7/hipuzNnf0g9eD5iVBDob1BtJ5ZtCGe0X
Aq9jddA6zDgpe/xqpEgYMt//4GYqMAkCYkJqUYsd0Nk4iP2aN2u6L/Wgp1+9z2PBDtcD04G647eG
03fWofXH1zPoGpUPQ9WBSxYZuaEtCznGRtiSTneKYMbZtcOi30zCXFPfRB1aYuz2dI7L689f1V9u
HNECPg+BExMV/dGb0qE7gOzmKo4xyDeNYHgsJ1O1cylI0qOAgfn59dYbOxoZKDyZwqmM0Tw91gwr
3KoJ+b1EaA1ddeXaffVYuqO4mOw8+2KG+tulmDfWCWR9tcfaDw9a0YBUjnJLHNc2+W66DPKIpgFQ
Bt//Yin/OB1y+ucxQrSxXcHNvX+hHCmVZTFFYU7BwuR1pR2uGUtfXOW35vHo8eE3Y4QyGfjsUY7a
4DX0ejJeU/QsClBQUPk4Qj3EX9HWHIn13oJRMwCC2K7qrw0IhWpjOMg1sOxqiP8wFGtsmJuxvTQX
GgubDpPIFc5T946QgF5bMVfLsKFVE39fRt2dvvjK/vJGMGNBFeJjw91yrF3WmjSl0pOswPrFCU2l
tEsoI9VFZAzu98/H2cdxzR8PmcVi7UCxbx4tT+0YdcbsEWnYTPC+AWMvUJ3L5rQlRjDIAQOH//56
7FHQnbE/9bGUv3//WVRHzcCBGWLm7OxJ/h2wsrvdVvdL7ypdsPJ8sfh8nGIdtqXsO1h+kescw3dG
aUzC6NkHFyimOTKZ0W1meu1BdKDP8z6nBjnE8nY2PBDbAPWLr3Y9H+VpLvIZ1HbOujIRbna0zSDp
fJBIVMvAhVbxmmSGf57VmI2DuNUcO4yJWtAQp6oOs3CV66+dDzLsomy8WG0sPsMEVEusYD9qjffg
GhnASxHBGqY7KegfETpMMFlTzqtPlszhij5ckbxA2GAH1aeV3Wxrz+7dU3rDureB558/WSwrYmOn
+awOhF9T00faYFOPTptOBQAcPK7hZ7oAJ9hoBBS1Sh4SKdYs33wSt8awIKtCm+Zi/p8rUz/nla+n
eXREhPqZOgVVNgTx92HwzV/kaNB9yBL7oQcUQvzTkPW/+mrpn0suMpwgC1EqrHLchkHZle4bfkqD
iArLI8HJpmLgP4ydhFEGscmBtayDuwxVNURglNwpfZJm1T5RKpLXMSdoPeQUIb8nYNOSYK6zBgEv
9VESbXskWxeLNbP+mzFxTRRZ6byGUeVIn/h6u3js0hxxaN05AirnQn3iZKIUr2Gig7oSpMsoT/vG
819t0dU38Ywwa9sY1fKkMlT4G1g4lbHT54nqsSn6NsKtOBLeQW4T+lYY2LC2MEY+ANyd7kEXjJiv
64wGbTu6kGgFuo9xA26N2kNHhA5IXa0veB2k8F7aRcVuea4WRTgxR1lomENS3eYUDymSUtG94O7+
m7PzaG5bS9PwL0IVctgikKKSZVmWwwZlWzZyOMjAr58HnllcgiyhPN3Vvovb5UOc+IU3pH8QMaRo
ih/igHZ3ryd/pL4QJ+DuqLh30RS/pJG2oK4/wkBPBgTgs7qh99yEOt2pzkGYF1dIK/+J5+/iJZ0x
vPzz8ScU5CTyntsKL8H58a9Rg9bZPIVXJKXxiKpe5JeqaG4jbMT9SGNG3h/v8rmBLEE1CWaGze62
N88NXaZCbobVXrr9MlX0D5x/hWbznAEA1NGI458IAmxON6l9AwsVmVedQpaLPJJ9ctSkPiDxY+88
1Jcf879DoJvGm3bB0K3DXpMa0SHsKdToCwYpMnGQ86+I7PWD+B+xrrnyoracKFUU9PgQAOLpTPIX
EZXG86yn9MOyeA8PeomhZCzEeVkckOaE25u8fjFHJGINpEpB0PU4dkNiaHDH9gUQhpzWhRx9R0N1
9FMg6wfEDOLeT9Ta3HEHunxuCbUcMMqAs+iO/U0q/hNk0v6h5sxCUrBV8G2Y+/Gkp+Wr08TyTlR3
bQUpJ7NLyDjRd9hA0GC3pJWZcLkgMjGewFMup3patJ1Nf0HBY/kU9iSlHxwugbpvHlmAIrY6WG3m
cT0MPYoiOEMATnDQBpk1qQ9Qb1Veqi7DA93OCvlbUsv2p6Ko409xpKv39AuwDOSqbUG6IF+PlxB9
mQ6NJYSYokqgWPKvpxRyO0QjizNKEXOrBtimtF/Asaw5cktdciWiWVUtdiZ/DdHPY0JGIcdCoQeF
Ampi53dPLzutMtOWoM07FPehWVqY4Q5tAB0+/dywPzVa5VO7s7muLDk8KpaDgI5g7q8v1X82ly0s
ycmxv/CMuDdOjsDkFn31Yufbrp2ktT7mQHkDZm/amyVPlJwGDwLNXlrqqUqFJUvRl9JXn0qaNEhX
z2odq0GoRQX0F/wAqaWl+XDn1LP8r56d6+0B2xGsi4MOFCW784mWkqxV/sI7yR8wulepsABxnI+2
inzXP+8cVSchQ/qJJJqL/nwoMamJUyQxtE1jagNwdZh7jDCE3x/l74HZbB3SCNZQxXjVxIbvfJjI
GQqglACqilk0fiuZ2Y+Z9xadYVA9J2rhiKMveR1MUoidlkCff4DeAY6+rjx6dBZKMe300FEa9GpQ
TImrtJF8D9EZXGLj1H5XNN0tVfIaJ5pK+MVAr+L9T7hyx1FigBxGTEJp5G9t7j/bUAPNOWGdlXhq
a1mHElF3FwjSHW21eWeyrm1FqnwcZerPcOKUzWRBuhwMYkUudW0h0VsGEFAQX+sPEvWCj+mgRyd1
iZuPWbOYJ8g6NPQkXF7e/96/ictmydaiNAkUl7pOKfR8yWpzAtpiE7tOXYYr7Qx29cGoZtR+2rBF
UhCHAlTFtSDCW+0oqWPykTtIf5vsKVvhHQp/CMdvK4xHuWX0U7PA5lPAeIhjOGg89YAvsDKVLHq4
aZ4nwSCvQLpCpK/TrJQ7k3rl7sJKGxA1DSqCgK1UZ6gIWJ7KzEGqtPmVhoL9iTItvkwU0QJFHp3P
UNrjnTm8smfgmSoIW9pEAhecxrzqwPaOvM5IKQCQ6BWsUHsBYs2O5Z0siYSM9disF6VYCpioi8FE
2Z5kerxZXCC67E4CIItrKANWsjGCZ4h95OC65KGidd3qMigy0NXZS5ItTiBHmvhYxq1DJ17zsVyV
7vELSTioSSGHfqks6ctirvA/o8uBT/YrfBZ/5jFvjxA5FXSPw0ozbiOI+T/UrFJ+1Oai/azgXRSB
1M3q4wCcXCLbMEzIo+Hq4FYjd4xSg4LcvhtPU/F5xvGU+K+uNNOFISo9dbGCcqTSO/kjDEXzK/ZC
1l2V1QYQ5VCeHjOBcqU32EJ5BIcddb4+qFLsWZ2of/dmX1XuVKgVSObZwl4kxJQDm+A+NV/6zlC+
DNFUf9XAZeOEU1v1/Cxh+BMeVO793rcKId12Y03vj7pjeus4OOqiZ2AUz7kcmTpSkJIWApUZmwEJ
+UUyPlQZshBBpKP26Q5GBKIDLsYtbTDwjiKaxUNMPUL4QF7q0J9nbFNIZsYR94JY5levSTsS5MSm
1qEIC0B0TgFEySM+ASNnOiWFX0ONUtmVgVeHiDxYyQc7MlDuaucWJ3inHefHHrl97TBLAyjwPDNF
4jp5lL42IbpyPt3f5odZFeggNLxxaWDl0H5cE2VB2XXKaVF9iMbNPcgkW/LzBVsitwhLlNJ7qVOT
g5TrZEXsrhrqpl6vpjpTt3THpYlA8IEiXypfoZN1O6KOiD5cbQ+fUdQA1SRRbRc+7rr1KV91vu6L
aUB0qKAB62ZU5d7ILzH8Epg05n7WmfhrYJRVBcDme8wkkM07tmCgwJpNMuhjsJ/2bxwHSbNw+iru
rVpW60DPe4e9OmUtnrztMIBOnBBsRLIcla9Dp9eTHsxyZr9RZZgwg1Jn/GiNHLyL0dezhFBYhKuw
LY3Lt3qKepRL5WFM/ITiMl36ktjajcsErKo6AYykm2+TAY/YTXyQuxkf4Bi7pBKqWzODalHphQSV
bOa/uFGozogqKyVk4daprkxl6I5SEnVFoGTqVB8WCHIi6GuUqG9CSEIYl9FFQL9cOGI5FOao1ySU
1WDeLPBsSPVbpdbY+Tgqw7nR0GWf40q7WwYJDTeMFufvTaOEw62h1l3vSZmZW0H/t29Zhnldu4vm
xFBTBU5HiB3mjuEJjKmW4zxMjQnFT6nqR7svASc6AJjTm6wIR3AktYTtStYkVnlaagSIg4jjOwdp
Y4+fIquK9BteKd1ykyYZ7yvA618GHqwfMc0qHO14JEE8FY6QfZCXtRJIkdlrH5w+Qx0JY6YIlkIS
vSWdXL6M6NePvtUqRnWvtyMXZSP3bBac/hwZO2a8AT0bO8Wf+jx3r62VIVzPYbJ+CwI0+EtDm40B
rtDx/agklfxtQFBddhWZBgHQ/dD5BmIwBDozpE8GSJbPkjapz/ii4REnj5mxwjbL0pPsfAHRYHTK
bdoXjRZkshm9zdCjPwNAqF7ff2uvhLjkNDQdYWBSc92qixpwJ7F2IwUGDm9jzxirj4UkZ2/vj3L5
GvFXw9yhkkTWSEJ2/qAncwRcbGIUycKgTtzjQQCa4vD+IJefAsGa+qS5iotxQ23iSQWJXyrfvB81
DdvVnJUtrjl7ndArn0KaQ4hs0Q+mN7z5lBRfmjxGd8TLpLw5GZ0hH/A2LZ7auqp2AuTL8qfFe7r2
/2V0Q3nIz2ctM0og1WhGgJnEONKNGqp09bDqUoY4xRbDBI8AAnb7gutWNN4YaSTthC4X+gTU+Sll
o9K6UoDJ89c5/0/oCcSMqn875t4wNKn8TNe5qL22VzBPIisPYXugv/400kD9JsWaeSsN0HyPjh5h
mQdNh6wwWpKd0Ea5stD0OixcteHUr9y08x9VxcghTshWAaVp9c8zvVMQNszhnVmVuKdjjqH/GntU
lQEDIZlF81zJHcyecO3yelkrfhixPH/VzUSbvXnGIuX9fXilaIy+3lq4InlcCwabyggcyNlSBvDU
Smak5T0VXGB5batAHELiMuZNUhMD4K4d4lIk5rZ7M6bQzoOylowOnG6b/RD4cz4NQ7ussF91Lgli
uhouqrIsx1zNtMKDVw1fyRIChVLJibOTaYe2cONawCYQvajbnd14pTKB+otBX8OgHmdC8zyf9nJZ
oh6aHPCELAP8kHWZ9lCG7fDWzM34RKBXh95QqE5PxjjXv8q2qxPUy2r9kxRPZge4R5sCbXRs6WQo
Wf8cmxQSXVugOeaVYOP14P11uJLMWPxK2iMoh6BGuSoe/nfzUvQS/eTQr8jXbjCSYcsnWyt6T1hl
9qkd+hk0paz8WrIl+R6T5R4gl6jFzq107Ves4h4OeZVG/9XYFBn7GomPCI0KsvvRke4IJ2njj8OS
vOYa0YCXOfn8feqqzHSTepnGoKB88qNdyuznznxcNtgJ0MkFyKgU7uKtXsOQoxmW0b7wjKZD86/u
cEBDg/EuUvXpFiNJ66TYQg7w05yfEFCfPiMHBClDyaQPVhmG/kjxIqAZNd8Q22fYTISYGneh/tDR
d9zZbes1ep5S/NU8A3PARQtPe3PGZQSHKHdxhuhvRodehNhtNpJ2gGaMlfPctDuTc+VOcVaxUg1Z
h1VxabNKQz+mVhFOuD9SlHgEq1nfCHyfbnaW4IJVuxq4r9UylA7A5W1bdouICmyqkhxB4pxyQzi1
0J+VyJCALE54bANyQxPYtcwOClEuD+i/GzQUv2EDbe5co5czbMtrpRjsDDR0BC3OT8di5dOMXDRs
w97pvyZKhWhw3s2vxmJot+Dzks/vf/sVIBgXNmAJfCsAd3CTnA/o9CWNEY1CTNnYbXgg2aLX0mWS
/Ce18ZANisYxf5lajcT6ANDjyQCt/sfMigYyj9nT88LKWX+AVD42tLk0JAYWQILcrNXKuwGGIH5E
eRN91JfZ+tmMpozjMwTP3cL3ZQTAdyC1sIo4oY2xPdAibCqc66jQWoMj/caFbfzCM618FClZq4hz
/YE4SABw1we/S430FNq4/GrINaOgNUvFEzr68w1CMBQrltDaqVleuW94eqjhsKxsZBR9zqd5ThtH
jWLKam1WgUzUwlgaHuYqmrDfRYvnTzJL7XPbj9FrQyUR7HMjqQ/onVfTTvBwZZ5U6qYrhhGVFIKY
8x/SqnKbTrNKNXrC5ReLKxP+TaffUTTfQyldeZvAMYIGQ2sV/a4LrImqJTO8AyTg8B4wD/Jkd7fl
YuafDCtLkKE2+97l+EfwFIvezWyl/YAsdXTXKmZ9Y5XNcAJnVj7ia+u4WSKqkySly41CJpDt1PIu
72BKMpST6ZzIBAnbamQX02vtkNjzZm2Uv2lT20Ehk7u7KkWsx2px3EjSoT6BxNL3lEgv61AMvfaw
bWIDGjebsKSXQ61ZtAq4gNUMMxc56huHDBwT9Kcpr6hf2sn0AaPIBEPEpaObaAnn55AO42dHHlo5
QLO6tyEyle09Xutl6S9tYZluPsy0ks2oUbSdR+DyUgasY1EIpIdjWOr2irLaYUGXn9tSy+z8nrw6
8k2lmf8fS2KbYDypV8Kn3zbNHEHS2A9QUuyoGj5lhQXtktDubSJqeepaMZGehS2+CITjOyIgVyCf
Ni8xvhKsCgXeLaTGBOucS6OdeSENnhsDsZG71kwHr4OC8wegVBpMThVOB5io84fcAdrjpqEmPoNe
N49J0YYfRbY0exXLaz/LAFeis13wfEDq7vzoRirS85Ja5V6tdKnuY30UfaoWMn4Lm2ggiWr6U28M
+B6FyiXWlMpLj8/qFCABY51CUdQQsaJ2DxZ95UKhIo3kHNphAO62cb80gRTLVofmJe2XTwUVgYDK
lXHKbFpk7z9WV4YiiaTejhoHAs7bfpM5KxoQ3LD1Kmf1HoSt76tJkj1Uo7lX3bfWC/k81FkBQyaC
NOuFACD7fLLjEAdPEesdxnG5PmOlWBWBQxcwPcVKVD9CBO7R2YtrODtS1dFxaMwQ7mDraF+ytKFi
UOF3/SKAQ+GEIPfxk2ZXEWARi3/p65a0Er/SRdxaVjp/WVQNUV2HWMeAklHI1qM9dJp56GiMfAed
p3xBYKP9ksPMe1Uk5Zfq1PIrbCv5e2O2tzTn8KocRDYEOB0k6FaUCzoRYSZGVxpbTOGq1GrlQ5h0
2sfWaWUDcIoMMqITfLrbaQmsE6gnKGxIOdh2D8timmqDVMSDO9VO+FsZ4cYdM4TwlUNMh6h3EfIG
01yVhZO70YjaApWePKIpZmXGbwcw32sSNipWGlY0/RxNZs9Nx6mbQMANyxdjxt8I2iXsHLeSE4lw
oTMFwKVRm/7gjqg0Rx0kwwyn0MxftMg097L4y2uXvg0qKqtU4nq/bAoGEJ1h5uiU55jO8ETurPt6
44yHOjPUGyQrIthsU7tzp/1t1Gw2FYk7LYdVGWrtKp5vqmyc+qVtCEOcGSKVAZjl3oAg/bSkskml
cLJMv4XDB6RIGm5Gui0+bcj+mGuF+rGRneUABEY/RdBzSOdk4dyXSDTuRKB/gZebH7mqwdPTXdv3
hIabH1mPsprEK3LISCvFp/o0lL7NVv/djzWEESF0owviSdaeZyDeL7NdJSpws9XD0JYnDD4RXplQ
DeMUOG7lCFimurOs0WArj6Xbo4ROIDYo7YOmDKm1WsJLkq8YqBigWWsTU0LKTqZAFz0GR/CSomcr
zco36H9z4tmJo70lC7mau2RZ+qGZzfBX25V9f4gcc/6AeIe45SWMdfIoTfrddeC0917t9fRv5mit
mq1qYmvYsA3nNCMspJ7it2fBVA8s2cl8CohpUILJ+J5E1vAI9tEGYEarQCN0/1ARY97nWBwel0LF
SVfBOG1nd13Z0vR7ANOuXABwjpsQE3hWZIemaD19kXpfIOz1RhlIwaM1Ct2U9g99lngPfXj5KK2I
WocUlncamSl5s1tiqriwJo2J0scz1GWvwwcw8lAH3e2Crn/T+ZyTnFHf4wSh9MdLeL4vx6iSY4o2
YDh96Xm5Mb5SoT2GN8uf/Hbs0IvYeWyuIF4Zby0Y/R/SafNlVVoOvdqDdPK/n55/P59ORzfwbkbX
/zi6OzikKxfD+Vibb8MrKwnlday7w8uBgY7H459Pdx93hrnSdV+Hod0JXIN0T99EEBVOwC1Yt9oT
Qft5uhfe/DTcGHf5YfJQmvFafzoiRHNCAyTylyfp4Hx7/wH/W5k8X8PzkvPmVTVxopsXKlAekuHB
4uMy4+UP2gk5YV/zy4N4cB6Vo/Sc3Uw38QFx8YNzrA55oATVwQjQDnLLh/nGDqCn7dx6V+ge579s
swJNbfVNpPDLMtdyc/83tgrBb2iK7qfskPhoNe1tr8sA43zANdj5TxG3Ah49JuuAhfvz2T1984KP
H9+f7YtwyQIRBWaJUwM+XN9GZmGLX51AHsZrcqk4hVba3kKfJNOorb2s8jLVYyxbhbqGxQwoxC1C
heiXJpyhgIEpkfcKwkkSb7S5lJckjNPvkt6T6xkRwvB05MdP4HPxmaC5YTzE6qK8Naryx2x6FAhn
bXkxhDX/Rjyy+5g29vLl/Um5rFMDVwJfaGhEKAp513qN/mfeSdA7q61F7WkSNgLHJerEiKsFXhsH
XRFz8qCkUOP8WqlLhCaaJRzRoZhGmuJ2H9PGQMpx8Sr6QbPbp0mPD/NQazvlgguzWp0fCdYDtIdj
ct1t6Xkljxarp8FFn/Xsx0Qp+c9sFCCBnUINv1jGgiivNZnzr6hO09dhkdGhgmFPIoJHlK17kQKb
0sutXAC+VcYiOslDDddi7BFOPKFDSZbt/C3v4ABUHfk+JGUivQafjPBPNvjIU2FXqeo57UZbAlB6
dDTMsfydxbg4BBauOPRRVjE7qNdbIpNudaU1ZqDT2qHQT0Oq0KXThH6wY2ugFprbPoKAQ9BTxPXi
nr6CA7sZzhfQhP/PL1nVNLEeIe/bEoc6AlxtNWVnmOKbTevcVY32GKvSbZREylEdpgMQsJM1o4cp
loImbL4XVfyNrM5ux3U2aO4gRq7r/HNTmwkJbarWWn+D2o6PY8RtjTCyan4zI90O3TbCKx2wEQG+
hTs9fKXcH2UFhxQwMk8rGMnHWn45jWVo3eA6Kj84Ol3rsJfj+2Y0+kNShgKtI7ylcqFhdoK1uEf7
VUZdIcsDs9KbA6c7CgrRoHXQduJgl8hUVHKHXHllq3d203Sv70/85SWl8hyhKEVBCjKBvHmS0hSB
ytYxSDpaJ3xZ5GkIuqq3DmjLiud/H4qJXblsYH3BU52ffASGMkxHYXD1+gg8ITenQ91BzwcsX+2U
lP+CEM+XkuIIkQNHGCMEVvN8rA4v0kiIlDi3xNRtEiMWrRJkmZwaoa9kMWqwlVPSC0MFyx2oQfjw
6ifMeSi5jsqq4yZNsytbQk4Jqs3vcp33p6XKYfaPlfiCb+fkJTbLaUeK/lTEhfSBxpTyFGGajHR2
Ut/oYogOU1b0OQoZpXzSzFmcStxE7sVc1Xtoo4sSOk1RlFOxIqb5ujYlz79XmesZR2Q6YJk1m7/l
uMxLH1Es6SkLQR8diKMH6ZhPbQ8RnAJ3ckPxiiAxAk2AstcURW8kDUL3mFPlZur6KHaV0jBqfxp1
XG8VGz6DGK24QBcmN17VrtZ+vb87LsJnvgA/IN4wjh/Vyk34TLrWLPGSobeUDsmj0ofTh7q3xpOz
qBkQZocC5pLsXTtXB6WvwQFYmSxbQWJ8OLpEx1gJuPbYPVFiKVF5RNsNSUbz65JNy4ve2fVOGHjZ
P+ZTyUFBksLmImjf1ByTCjlKavDQp7WswgV4VG7qhnzbBd/k3IYZtsQLf5D8S8hDzioyQ6McozvS
K1gKD6m0145bT8PmtHDzkVBx78LR2z4Dmo4u6JjDsTYSxhIAQ44rFnvnUF4JUlQE39fP5qW59JYy
oqQuHR1xlAlh/0/QuovUlfFlNP2UXvTtHI8AXIoJP79DXC0xOrRDjAuz3ovpMwFFWwbIEPVxIPU1
cKolsucQ82IF2VUqReBv4rimGPr+try2WCu5w3SAyZr8/s2+pA6YZaAKiM/nxr7H4Tf6PKsi96CN
xqfOaXHXzQr9sULv7mnWwSIj7zPdm83QHlAAm3ci+CvXNSXZ1T8Q85HV/uj8nPdLMo7o6xWekvTp
NzMtEAaPzPC7HDmEVDuffuVSYbAVI0xvmw7dJluYUXjgbHCpRE44BXFi3sLiO9BJGpESaUv6Nsk3
tiWKWzbCHkV+3Bl/vbQ221I1YaDoXGurD99m6rU8A3VNduuJOS0+pYaIAx1xIBgVvIr1ko5fZoAn
H3CA6QOlrfXjkpQN2mWF+tKOxrwTFF45JOT1AHb4g2OyrX5KzSCUUotLigdguCI8OW8M1NX3Dsk6
qduPXmurChEIkOOtBLalL7EaDw44DspRGB7Z7bM6q81XxYkABihSV1gHuZNQ3aGsZyE6Kbc4g2tZ
zv9N5zHLSjlKafYUuQjeX48rE8C7jemODX6DGH6zHHFvy6CuWY7IoPDfoYl7Z2bCOL0/ypUdzhjM
L6R3QPdbXjKUqdnSE0x8ZhtBrmVIsMLLUzgOEPF3zva1DwLiRWam4xsAlvz8MNmVA3rD4drDJ8G5
ozoGCNqGxvfp/S+6NowNwcmh7Ahtcztv+E8gptdBEauwUA/sVnfuEAza89q6Mm80JmhisWlWYPUm
r6rwsbW7hPZDqkQlwnxyG2iSXggA3YuycxQus3XQp1TfeCsYCBDWJlJuDHSYYrAtYONG0gPJNBFe
VMoPZYG6bF4pCDYu2oJtfWU9qBpeillVSl4Y6c4Huv2S38sD4XDjdB8nYIJ71cErUwFxhB8IwoS2
+vY5U2rwRFSwSiRam7B36SfLv9UlMn+u6Cn7YQ6JGU8pJOnHOtX0KujycnjmbwJ7YLHhQnS15KJ1
bWtC0EZTebHcBrj6Ho7syr6AEr3yF8BFrSW88+1XRdgtI0NN3161mlOvwvpftL2n/bJASPOX/gn3
t047jb/qfBS8XBwAxX2DTVeDtP8woVdcL72v4hAIBjtJfLx468e0auPHCgnj3KeiGH9DwfjLokia
Dxau3rvj1oO1ueMwl9RWCQSTQGJr8FMOVQP2GUPkobLGj7XercqAIvuDtPZy0Me5vwHgF0hp8Rtz
hCHQJ6c+jpRsdy60yxIjlB6y33WXgDS+SPNlnKxBEMuU/kc4pDR6/zijqI6oiOUBref0qaFz81xG
S4dYMpKx6TDPMCjGt8xWP6oj0kl2M+h/GlmgawFuLTBFtZymLkaeo7asnfdwXanzWYNgDrqPFhz/
5YifryQKxI5RlyyiJAGa7trKfkDm1rnLtQkfJCibRykf7Z1m7JVBEd7npEOywWNF32zSpS6H1ugR
xGrDhUsfdbIHFGC6o5iq2ROhVPoV3Xvv/Rvzsh6LKS8bBHsbji9kqE2EPMRmpuo95uNTU7TfYjbR
J5yw5a92PeqPiHCiVocwn/PDNGN0f6m2qIpXGuiRwYMO81cz7uKfLaoij1Sz1RUPas3ferU0v+z8
ziuzsyLHQMSBpSNIWv/9f4pZAoiSSI1aePoAUp6LHlu/XNGXr7baRDhLm2rxs9bT+UmRounLjD7g
SnLXC9sP684IEogd6k1VFUUaNESvt02YZr8RyizQ1Ekn9Lbf/73rtG12ELsdtB2hI/Wt7c+1qlnU
Y8nPTXKt8VMZ6nUOS/IgxYX2eSxb7bvVJYh8x6BE3x/58kqmN2Eq0BXhnKHjtZmoHGbmyjVe+33y
SAgZxY9RR5WjB4O986pfGwpRqrVJTSIMB/Z8TRBdpy6oUcUZINQH6Fs6bm2ngzsjO7zzVVeWn0cG
MRei1BXFteknxhgdRpJMP9GqUG2F6lDZPxdNjW4lR54RaEagHOaA1sh7rhhXvpFjsRJLCVyooW6m
E6W1HB1KGYkYpRFB1A6OX+pl5jr6EO3EY5fAXQuAJkAxIK6ArgmVzufTLlPQd/o6VpiVtleD3/9d
NjBTV89ThIezSSOBVqH9OofJCo0xsLiblps6NzE6kCT0SV0iOmxn4Z9JyA4XIAjwYo8jD7HCRj1F
WBuigh71InAiVYS+hKzt99pMy8YdIGI4mFcQfe/cMVfWDhjH2tFavdbYL+efVQsHhFMR1l42GfEr
EWl/t/K67w3MCJ9Bfsl+saTpx/ePweWTT7gEDp+kn5wGHPv5oHZEZQ+/FsRiRBUGNdVIV0tH+d/D
M4ahIwDcH8og4kbnw0xKP8JYdRAJSGYVwstsfjSnhb4d1CaQAgAoTmieQt7Va3Fby4Zgw6ZYCa9F
YIQ+EUMitHLnpA2PyqhSgn5/FtZjcX4N6cAdKVQBSVuZrpsTauc66UstQwTDduK7mcfQVxBB8mcT
uV23y834+P6AV+JV2OnyqlpGTsSKb6qcEsYoM+YTjafGtjwg2G06PlYbhoM4kLI4XhqP0FFi3GVl
V48069ArvViQOBR5jvBraEVu2ebW91gusg9J2PboiPb5Tin2SqjGNltJGhCA1w7rZl649qOhk7BV
LSqhBSibmQdVBveUom3ynWg5TmGsNzaWz7q4NfJpPDQtFoxo/0fPgNDNO2AjewDVSwEyetmsFKtE
pEf6u7lqCqlUkIVWkQjC3KeGbWtbv7I6Tr/FRr38rjLAGgeHEk0YZPXUmMFQ9f0nCldFdQhDG2OL
nFYKvGLkRL9ITae9QUdpdd9uF0X2pgWcv0ID4tfOgl9GmMSV1A3YZ/i1ASM6PwGjAIAqN7KENMuA
CczQ5jSZZmM6qWLOAqD4OiTYeDoojTk+CsfqDH+Qa+0NpWrz8P5vubyr13sTrOffCIEG3flPqVFK
JgZHI7SN6h9w55U7p9d+jZPoduqKl5cLA60qJBRP6a3Z67//TzAixVZSYBvKQM0YeoqSpSAy6Fu8
/znXRgF9yC5FA2jFp5yP0qphGouOZChrYzbFUNrBVCHL/f4ol5OG4APNAliq7D1e8vNR1KGiH28q
mZfEVeOtYOYDAqXRbasab++PdPk99AdMjcthtS0nKjofSZA3r44AWMNmZXnn6AY1fQwqgvdHuXID
QXbQ1+Y/URBh7ebm77Cj0hQRwt4eM+chqafxdwSIy29aBKJGtuaXKO9SFwY3rsn9Mni50g8+orjC
i8qGjic6Pnd5lCDXn/XWzht/OdsALhUiWdAdaAFsm0D0FZQwzHOoyrp4C7NcRXSx1Z5TO+u+78zD
5cFEWmbV2aPRB69gezA1dIa4QjLJRWS14/gtSuamitreAsxOgzGdcKeXeNM8kOqqH5px+9IDoXsl
dFb/WbyETh+aDgDCFBT5wHSeL31akhiONIp47hJ87uRlOplqlO1lu5dlVKJDhzQc2s3qp7zZy5HU
z2ABkZQt1Sb77BAEuIlNfwZFbABmupxSocDJIOuG/k0ju/QBxAw/35/3yxWGtQAxjk4YfW10bc8/
FdI77FieLLhIZnKIZ5JFihs91glib1avPGN8IxkRLxmUKAY9HwsHP+7cAg9DO65waTKqfK3WJ3mn
3A2VUaKhHBvGn7xarMRdg5iHeeZ59kJZB9io40yLZqo80A5ZWju1dsK+a7+OaVij5r8smu2il7MW
jkpbFFRdesKvAe3HowpT/KUDYfWC2n5zm8qDnHiRBrPQzpPoiHz6s13a0LtmEolTpKEFsvOzLm8h
8PnwX2gwEBJxMs7nDD+QPJa6rMAVp8/BnerFyUQl/V+fIvgPUA5gmfDnuiHOR1GmtJNpb5UefSnp
Z50n1R2t9IV2vyHvFOEuPoihVgbteolTMt9+EEpbel3aAFKcEUu+IdWiI1n7P1dwaU6AUf+rzoK2
5LYdUoYSVoUjGvuwh+ob0JBIqje25b9/eNbDcRavEq+vgklsGk7wReE7ya1lCtFb9XK7nD6LLNE+
a6ifvVpaK5/gKJhuZMrNzYRqPmqaS/Xvq6ZrJhhZ7o6/2eb5qiXh4FSlSY4FWGUttjrlsbZ7fHsq
/LXe/9KLpAgwCJksy7ZaYxI5nQ9FxaCIpRZ5G1WtgPQVbqkqOIfdxkTKWrer7WyalzNL8gWokP8Q
Im3BQPbIJW8LrFrIzbHzGHvk/TyqaTIQlFIdHc/IJqw9pkKLPph9gbfgDPPiR95QIXPtStPfkgjA
7jE2ovHH0mnzHT3k/ihURKu9QjFVeC1FyRMT1caMVAT97wWIjrN0XMY5gOslUvpnoA9mB7tLyMYn
nD563YUYBFCLuiimaLEyNy9xqHaGp0cjEiVhN6KpZzXjXNzqlgqGuuTC8+Duo9MjRxJGzN04KLDe
Oz1L/Nis1MdWcsIU5ZihveuRIcOZoIzt30U8DzdmPeUSHlTpgkcBmG+o9YPZPK5yaSn6iSOi107T
a7FHJ1/6kVrJeOfEGBUhm5Bo7IcowjK7Hy3pe4Ue45fIClWa2M38tbda7S1KK+l7LSdGiVKWEVdu
r2aWw73bS4845Er4q+tjjTYhEYm4H1YRKb8eOrREiWcQ/8vkBXUssC6pdFrkODlOOrpWxyIy48UV
ao3apF3VSENg7Sf7Uqs63wtsIPhAiJxfa0xvdVfuZTzGpBmG5Ycu1rkUFBQZAcoWE25VfT6bZtAb
AguwPF3QDkYjl2WacEpPD3RT629DURUqWvTtAkSyS6eXLheq7ltIUHzGHqMo/d7p8JEBGd9YbgVP
RPgQ0mg5GMqMJlgLyb92x7nuXxdcJ18Qqae7nNaiKw85uyQCpFtPVeBgbVndLjWKYOgBlwX9gB4l
W6wjKK77A2rPg8suMw0fhXi6U01jYj42lTVafySP6uSbK5XUz6wlf0uXduIQYTegutFkK980BciJ
GzkG5k9AqPrX3ikWGRXDgaiO0m9m4y83Vm/AI/rpkyP34jXTDR1MHzAodghZ3z0FelnxOqWF8ZAQ
sMQgorThSe4Qd/TK2GpWaQUb2ZZijuvV8jxDcoTzFLtROFqf0YNJK0+LHfuxXprhXmM2+eusaPX6
0wZ9CRb4x3jiimWE5pGv3hFsRGvF2mX4zFUVjifUZbny3r94LmGBq5zYSr2kGqOs6cX5zdOiYObU
A+WyAv0RqJ5O6XNuipMwRxscxGL6apYOR2R9NU+zMVOD2E/xxAYapQARcYmjk4ArYnh+/4ddecco
QWpwgyHZ0HTfPMwAiRY4WDpS23Jtf6jKfPrUtrKz9/nrX7N5YkhU12baSroCGHn++RRC1EKO08KT
RloP43IIdQdTYvnFiIyDVRqvYHnuU3tBrwvh+1kHFiEi+UNTDDu1o4tA8X84O68uuZEzTf+VObqH
Bt7MGekiE0hTRRaLnuwbHJIqwnuPX79PVPfMViKxiS3Nhc60KHZkBMJ85jXwDpBVAOQNK0MhaL38
IYpa2u2gwvDztcn/6eCV4ebF3NxXJrZPr11atiL1fZTkCZCpy1wONejVkBL/CbX60jqWWur/Lhvr
1XL1tNdEc4caJuQtdtflKLozGVZDRwdD0TY5DHqgf4qiJtjIvVeWDWiLkCa0KDHRzVuMYo7kmCX1
kdrvEyxM6vmA65vQN7U2MqjrDQlISnTOQNKs4FFqjQ61hTH23rA5FElkTQe/BBJ7+9tcw174IpoG
zY0wmVR8GSp2RhM2cYR/uoNiDCZSOXWT/Swns+11fu6Xu6IauwoZHbTod1I8DV8rzRyK/WgMsbCs
qLpzp3Vpv3FQVmbPKQGPR0WFEv+yg9GEVarXPYb3sFtMD8Ku7SUKOk0bs7+OS7j1iUqoTlKkvNo0
Ks27SC2EJ9YQIWM/hslHVICQoWjL6kAj1XigWOe8V0YNG+zcgD6qSm2I30BpPFpKGn9mbTCVo17u
fNJSx9xR6B5evxRoydOXc4R8DOH25Zbz5zGu44RmjhPgACPLLVGwA5Ps9lJcx74staKI8ojoqSz3
gQ46a+5SqhBKBYt4D8AmPHBeeYmiSH8/j8b0eUhL9MZw591llLzPt8df+eDM7rl0S1xKknQ5y0St
GjxTqdxaqYLTn9MND3KaKhvbfeX4AjHC7Ir/E8XXxSVhdInZD7FSCh+iGi0lsHZGFlWn1Nfzrb11
VQER+hlicwGcAOh45TjgFwXveUU2YfXyY4ihz5d4dqbPXWSEJxVP98euU5L3gR9E2Cao5le9T4xP
VU+2fHtpn1Pdy0eHX0LVC1yAcAxZ7qCwRF/cj8DjmSjRRXeTP8vfwqRrf5KLRKC+0LNodkM15PY9
GnLaF2Wo4vCuN6Mp3Wd2q3/06dR8VpICX8Y86eRdqhbdeWqtMfRSRHB/QYYBU6pS5L1PnalsDvM8
yP9K2gG3WuJWqupxmWW/bX+oVbcICgqKkT6bn2/P8/rj0mgB3EinQRESC4st1MbmWCqADffQfGKX
0EJH0TJWvymwuTaGus6f0IxAYpjkCfQS6kCXu9WghAzdrGUoTYvUu1pWZ3tXxoX+YGs0zk7Ie5Rg
wwej2vKxWBkZpgmNVao81A+WAGCzriaoPXg+jerQfsljZLaxCWoOmlVpf6hhMh50v0q+3F7Z62uS
8hneEXxH7kv5uXX4ouKM8HbDDkJn2J4bgKP+YBhf0X8z3jZ+NBPKJFtCAdeiikLBGVldChh0Pfms
lwuckPPIqQ6TIkmU6mNmz3hXK3CwtUMV2J12ngItqLHP06QPoepA57WTMv1oOXmHU1ybho/R4JPt
FKWEBpwCjvRjgoC4q+Hx2gA2QKD5TOen+lU0ef0h5HWjDWiE0XeMtBzUdDFJe2yQJsB+M6eRhEuZ
1O20TopTrwyKJHkz+okp7XDprOBVdmUNXdOWMsU1dcA0LmmY/luypiY/xdh06zsuVaSZqxr/2GhO
pm+1VFuhgDb63WkMCFN2Ocl699rbDkwFx14UToRp1zLYrA28YvGVxDJubpo3FPo76Ar4WuswFdzb
O+QKcUDJwhZoVT4arDdHXO8vdkgADdKWo76jpm2lbxMV0qZQdKtPuKBUJzLuAAqFpT74RYKW5O2x
r54OxuY2J3qh3kfferFX4GJKAWxnpI1ga96BQIAfqzranw/Uf/4a/yt4Kh7/vC+bf/43//yrwIIr
CsJ28Y//fBv9wqy1+N3+t/hr//s/u/xL/3xXPuUf2/rpqX37o1z+Ly/+Iv/+v8Z3f7Q/Lv6BokHU
Tu+7p3r68NR0afs8CL9U/C//f//wP56e/y2fpvLpH3/DxiZvxb8twG/sb3/90flf//ibCMj/8+W/
/q8/e/iR8ddgq+Tpj/xfy7/x9KNp//E3Tfk7uq6AyYW0BkRd0XEdnsSfqPLfSWCRcofpBVDRFtSM
nIpAyIDy32VEcKixCTkcykH8paboxB8Zzt8RS6EAxktFWAqI/G//88suPtH//WT/kXfZYxHlbcPf
Zte9ePhkJI8BNQhiKVe1ho7b5a7ErwU4Qm6EnjlSMdgZWIvftWYQfnZg7f65Py62x8uxFieAsej8
8c4TrArLseUujI0gTdo2ijyZROhn12UN4iCZiXNHpljt3pBy0P6zNUc7SuPJRja3Oji4ddAb5K+A
dy8nioVpG+eBEnqVLkX36ImVx9qpNORZ/YKaB0O3tp/dmfRdNg7fMoH4c94Cb8hNg372MlLXml5C
+lkLvRKVDuThlcib6kk6xkU5PIwDwg34gOv5fRNU4XHKOioUiaWeVSS/9l02TNXWD1rEXX/+IGT7
RDJDZ2IJrJaUWk6UwMbpMvf7N6le4LkZG+2JLUm6PVfF78xRa8Qr5a4RntbJgTTYec9TpGxUWZfF
DvFTSGxhoKN1hTTYUlB69tFmnYsCje1Jit/GeQ6oPQpxiTblEL5QBx7rEeUIGw6uXhXfnbSbfyMT
EaAVVAdOuLPkCW3YEEgVRgIJvhovDvJfx+Xlll2qJT3/PpsEE7gWChRUvC+3zUiE3EzmFHuVPUQf
dLkfvTmbp71Z24aHyWpzTJupvkeNNUcSAT+vKiiaLUbwyvd6LgxzHZDucllc/gjh4oT1H2rQgtvx
ropK3dXmOn2IukY6w6yEGWOgOECFrU7ewC3r8O018/4H8my2e3tBru8LQCOaQPoJhSAyocufApa1
c/ImSLy8idV/1ameHMbYao9tUPvH20MtQqrnpX8x1FIfqvRDP6iMKPFUuWoArVlSd1dJvv+HkU3T
Y5cqW7muuAIu70KiKWIpoLiEvvBeL+cWKVR2gWjEHlVBVEu0Kr/X9fyvV/L/eQsuwlMxLQ4KZDw4
VnSYrcUoOb6WEkVKdtSA5jIiicioz8a001NLh8Nj/LASfatts+y5/zWo4NmLK0jRFjsI9g3toWCM
PTNLs0OXJdNj3HAZZqnU/oG6Ba59JdBZDoADEFHovQ4Bh2lIZOsRS0P1iM4PYa3aOcbnuR+bV6L4
+H2CWyOeQUNBj3HJA+OeojPaFanXFK16zKvSdsc0Go5apW+hNq63lU1SImJ1HgLqrIsXr+CiG7BE
Fl/ZQDEH/eudzw/7JLzK3dmygg3Y8PWJYTxKbpStIXKguXa5q7KRmiGoydhL0NI95JVpHOHB0l8v
Zce7fWLWhqJhCkKRncVCLrZWB6l0AjSVokXsWJ4Oa9nVICccxmHc6tI+R8aXh0U0yAQfieqYQipy
Oa1Eb7DGCStOZ+KMxj7Tpemu6KFOIu7t01EYygl7ii7QHhQ6MG+6RC/fBqIy5De+87vKlO5r1OnO
I8bBw7e0QSq7QOfG9LBP1zYasNcnjgOHWwF5mayqXF6XP9UaVGA1vp94fqkUh6E1LfKdID1wvWmu
jFXCoaXDtpFZrA/KAkG/INxfMi9m1KmVIgdhFTUFyYuWJfZ7vOXtUy3N+W84quFDomnSz9fvACpg
/zPqEltT2WgYyHKXeBjC6PeR3b9Pw9Q8SfO41bG8vixZVKgv7DKhc+ws9pqNpjv6nsxPK2KdR9DR
32JQtmWLtHJxXQ6zeG8Go4xqxa4TD/ZueheiZrsjr41OSiArnq3FHShyq+igSHXS19LwDUCd6PZ3
4GyT8E4Ok+q9NOa+WwxdCaB1sh5vL/jabWKCVaTlbgsIzaL0SCnKnvqwwPic4PakdWPgla1tfuxC
p/g6DKp/uj3eSsDEglDx1XCLANG31EQq5LI1sSJLvNmorJ+t7MhPU2+V6r4fW7BCyH4N36CS54/5
YNjvKU11IzphEaVp5OHmcheqvvwDySLgnWakG1sqwGvrgXkblR9xNRCvXJ61IXDYaiEy9zAlho/T
PGBdbhSV9IXLNrnPzanYSCpWzhlhrEX9nwWhOrqI67uh1azBQoohDhSaRpnC+xGpVvK1tfj/2thB
1Dnuc+f97e8g9t3i+hOlYJVmGNOk8nw5zyRUFJreaOUnbDp0KSZMtEbo5TgBFO8MBemzWVXotGgY
/RWBpWxsg5WbnuHJJZ6vNX0ZRADdrLKGVrCn2nnoAteo3awsk32qTePGRbY2FA0ddhw9ADbc4r00
CuLiFE6011iFBOWHvn3cNtYuK4d2y3Bt7WOixc9zApcMotbiY1qdbyK2iAKE40NitsHbHpJUN9yZ
zMFVIn88dt1gvH6CSLDwRD8TQqh5Xn7KHvMLvy+jwAvrLvzQ+JbvRsM83SNZWB9u7xqx+xe7Bhk0
1pIijE3JaXFbJLYRgCIPAg+bRO084hW481OcPYwwbOFM2Kh7jm12nsPk9+sHRkLtOe6B57OsxrJd
B5+rXHJh0I/fUiVsvuWQa48aQRDCHp3qxbadfBbR71YKtXIjECnI4J6I8cAMLZY31fUa5l0ZeJLu
hO/SKvg9N5F56KYg38WFNmzEQGvDMRpFDW4DQvnFEpNmk6P4VBiD1AnfBspkfU3mufxSIQTxAWyn
urGyq+NB4UcJ7JmKtoisK1OqUCoeJLccW3RPeax2jU50GfToZ8hZu5ELXu8g2JwcDyqBFLmpZFxu
1tgygj7s+tCb/QK5TXlq79qkSSEGy91RCuvHJJQ/5qGxxXhWVwcGlgdTRBU98UUJMcoSqJOOHHqN
Equ9a6ZZ9y4ZS2TkLJCq7wuYd7k3og6DtTvWTMU+aaQpuS8tc0TFixBwT4E8vFdhWnU73Pfqf6UF
wBR30GLniwWD7R1WAOW0swx9iMhk2wnvyyqXjR0KtPLjNDiNqOOjUe5GgSb/oZTIJaB2MEECKHFV
3Ur8r689ehagHLhiDRUO7WKha70z1HweIq9q5RRy71h6NNZLNx3H2EUhGC37ue29XJZT4DCxxn+H
341U6OlBTSsFf5Nsug8lxfQkVdoS2Hu29Lq8SPht7HEh5AyYeinfiFdBHA0I9HolHPl9a8zqh0Lp
cPVFWeQkK6G5A94cQyChw6MOQ3eculHCrsx0NspqK8sEv8mgmIQKIQYQi+2facqkh5EReKYyWFjT
0UJrcaA7I0Wlb7x5K7Eg5VNRDWXKoJSXsVbjtABne1SBkMWQmp0yafVdTxfJjZLIUHaO2safjWYE
klJVQf9LwnGi3Q3jYLumOdt3ZgV3M50z+dCjUnaIgwzT0NvX7PX7xS+kmgoGioY8YPHL09nPZRqW
bUDPL+azFBXqt30Y1W9Ko7Q9FQ1EMHj1ViywOqhYFaJxeClLXE7Q2D3ANT/wOhReUUaRyvCUyA7I
uhqTgG+DzWGccePd+PLi3l5uQRqm/zvs4l43YS+O+PdyycVDfE5tDUHoOp8Or19RDRDQMxbTJFG7
XNFAV4uwbLh2Ihy4zgYaXPsugWhv+3j81sg9euMIoO32oCtVP0xYkZXGXIAMB4e0y1GxsJuxG9JD
T8lB1KY53ouQ8lLXNKT5A8K25I4itE/wY3STAmwbFQ1ra7uLzbJcYO4dykSCm63Jix/hlD6Ji/gR
BcKsiImOwclCwP7BTNv2PZ+2/2rVQ3hncNOc2yjIzkWKMdGA1t0duBz1rWFM+RYZ5TrshaaORhA8
aDTCrwDtikmGWVsUjgjES68Z6/xecqzhEI22RXe3bN+0cZYd2wg0CtZIWyDnlVI64+O4yZ3HI0jt
+vLDdMoY9JLP+I1ZNQds+qZDBlLiDX6uw36Gwn5fTAPu5ji6xD8b8ElvsaK2anf2Q50CQ6ltPMdr
1x98EeIMTRFuM4toQ3Haqq/qOvTaIJpOCjYRhzGwv2CBtnW1rK48u/K5MglHZ7EbyPAybZKBE1CO
N06Y2ujfeyppR3C5zbiDEe/v5W7QTkquhA9+P6rfb5+JlfefLhHoNBqJApy/nKkWlWaYEnikOtW/
qfKftDzvPo310J0sSHBn1cRaaajr4MftgdfuGTgU9E4s0VtfAtvRrh6hh7DEqVwOR4R803vLpwJ+
exSxfMvDRi8OhR3RpYOQermxgH2IQkcT4neWy14kAzUOG6N2EWAMPmHnkG2g5NYubZhpBMQYyKJX
Lv78RTdYmhslwg2ZOC5SpztjrmVthyYeDBjouNJnYpv0IGcxJm+357k2LkA2Ew46/o8gLC/HxTp2
luNQguFaTNGxV62foTTJ77Ba/61JkXKqTO337RHXNg6vhG6TPTLZpS1QKFm+HRDye7UuR64zVy0x
6mR1bk836KtiRj1NrtR5hG6yeWjWjieoNaYLVA5NgsV7HGGeCMQ7QZwizkGGZ4WG2F0dngCf6hs3
wdoGejnU4jmkQzxmfQfyVoIjurPN2tj3oPf2bZa3hwb5z40Nu/ohSWUAEhBxXFl5U2SRIkepIs9P
iYPr2bbflr4KmAg25T5KZCBoU/pKZR3Kp7xHgGJhiZHPUWi83D063lODrzLJWUcSPa6xYA2gNx/I
0V+J6ftrKDpvADRA9hmL9UxAWTuETTQGKbEd1IDO5FQGsXd7cy45vX8OI2AZlPBormiL+AKTqqrV
WULPyqL6DnUpzDZthQaaFFXlKbWDN70c19/B4ZQfLL1QDoiLtb/bCmqFKowRCQLxbulLbPgkhf6U
6keurmUw/1Wj3LiC1z45fUA69RbYKjQILlffmrFGBe4fe/jaYJVX5YZb1obm1XJk7/uymI8Ykmof
N1ZIRPCLmxFoAOpjWKYqnKNFhD+NVoHNcR15WHchTqB2X7U2mr9MPkhbaWKHgxJKT7USQhGb23Nv
qsNGk3hl3rSqAQ1AlQS9tvQ3lpo2xfmQ/rka5Z2ny+Ps6jgAnxxUnVxFt6KjPBfjxmKvpVgUacD9
0fpF53/Jjmu0wgjCmmyj7G1oNSVtMLe3oLtRfm3pTvXJYVb07C3CD/2DpOTDtJsr0PgRrdpXaoaI
XcpvEY7H0J9YhMXj2+lqNmaBHni5GcgHnbv7ndULsJY29RvtKrHhl58b0VdKzLiNMO7iiAdBqmI4
lmDV3iaKfpf5bfhdy8xM8Sp6LMc8CJOnWLMQpA0cJ9sPqPCcb++4tc9NCZAPR4gHS3P5ROll0I5d
EXq0nvT7vCu084DN7zkNlN+VZGi7PkQy6/aYK7c3VTGmTcCt4rUhftOL51gZSY/jMKFbo0TJUYuD
/ixFnX1GoDc9dbiKfLk93sqjCK0MobVnaiikusvxrFH3EXXOGQ/8ApIPUX4wYZLvQ7f51ZX6+CaZ
IdLcHnPlMeSt4ABRFiOIXgLz4d2P8ZjTSuExRrBIHwzsHOTooI1G8v72UFfLScICtwbJDeGScsUB
qOizzWTxiRejty0ytOYoF9yWuY69guTL1cbUrg8rW5WHSSh+AyNmyMv1VORUzao0kdxQ75oztQjD
A5Gb5rtSTqqPUaJM5xYlTrQKe4hcuNZ+CmOsYqssSzfOz8rUaWRDToSnCFNyeVQFoLWXW6pUhTyX
e11GqrNKDwPNqqLeUjQTb+DFWRWzxucGJV1RClrSqeOKWyuQGQsDoh66k5lN5n4qSy3ciBpXJwV+
6XkgmCPiz18cjwA6LklZK7lxIkH9DXxEknMD/h8CWKjoYtB4e/9cP8tkOGxVNima41BvFo9OIStt
N9GzdfWuLo9GbeNqM9TRW5Bx4RMiPBZOxzFWYfI4fgc31r7Tw1H/nsmlcUACSIUn5Iy7Er3sU1XZ
+fcqt+o32J0VT31fdxub/eosi99KQEQ7nE4QrOXLxUEHPHV8zNtcPxqxkZS08Ofcy913JQmCeV8a
df29mPISgbRsyxvo6kiLoTWoQ+K2JklabHsjqyCA2DQs5LadEC2vkPuUHONQO/HWe7iy1wQJBggY
LBD6e4stgKRRYg66JDqpU3DXpTHuhIoUfbn94ddGoZv13MsDAW4sXh8k7gsQN7Hk2r5aIHhcdfdd
WW715ldGEbL2gixN3Ifw4OUXixXcASkw++6Y6dp9VWEOo/bGVgFnbRTBICZy4jPxfl+OEjkgaHD2
810naO1TXknxwYb8spF3rGwBUivyY/C9NKGf6/YvjqbUSR01rFb0rKLsDGJXO/SGnbp12Skbt8DV
UJTDwS8KwT1Y0WTjlxMyS8vOqAkZbjCNtTfqWvQ1CeecMlwW/Lq9D67OFNaJ1Py4Rkk1aJkthhrQ
/8dbfWCoOobeq6BXXieQQlIegD18rPDd5BufILmr7u2BV+aI5RAJDuk+h1pfBAJ12yUtSvCYmSZ2
9C7N/cDVy8724lm1N+KclaEwqYFKJLiUoGIXcywR1beDRnFcQx4BzLQ9FnsGmfF958TJFsNwZUHp
7wlGhGiscmtcfrveNKvACAfHtXEKrlEWt8f72gfDs5OaxvqBrXr51YAUsu/0NEg3rvO1mVI2ktFT
AWlzhRVJsKAvMyXx3bq1/4h8ipZZkE2ccfAptz/f2jRN6JoUOAkhr2LHWYsR1B8mwKCjana7ph0n
SLFt+EHvEMneZ2Oo3+mZAzcc7sP322OvzRJhAkAgFANJVsSfvziJkdFLeLcjp5VmJABZbVme1qOm
pCnhFp7v6mpBOwcwGWw3yKlUERbhow/wVMtT33GbwVHOozz3dyjPNhsTunr1RYtJUEapMCB5Zy5G
sUclGDLAHi6Bfn5npsjDjJOWP4DWUk/B2Jiv3yboYwhZIAQzBCXjcgENEAV1Uau2m0UlyF5Ylx7d
cunk4G6+8c6sTQ3EPSg5usTXSLlkiNQQD2Hblag137VFnJ1imrXprkAjR3X1oe2j0+3tsZRbQYGX
CJP4QKjfMOwSEdblFMcESNC1WspBu37Cl2+XTimWQlPQf0CjYTB2cTrN7lRpNszRTLJRo5uVfaIl
uueYheaZjbwla7aybflZDtAlkgKanYtrqJdqlHZidDiLIcz/kHniezcI+uk42eP8eHsNVsYCAyDW
nVoyBJNFWGcUuj+NeeDQsSuEMa9muVme+bsQW7nD7aFWboJn1B8RIahS9dkW48VpRJfGD7LWt90a
QxcUA5Ruxx2uFHhY5Mk+1Or+i93N7xsnK55uj7w6Sb4lGFPwT9y1l9u4K9S4tCcmOcetsqt6vzqV
gH53RtJXW3tKLNhFBiDorsTjfDoSZrRML8dKcNgx1MDkiGaALCu9Uc61ng3HZNAVHN+r7IAmgn+s
dMCYKv6OyKDp+evfMfii3ERCZFo4xlz+hnhW0GttMROZJmBP/Tzod2muKK6R9/q320u79lGBz1Cn
E1zsK6JvMDhDO0WV7aq6hc1INNn7ju4zEgFx4MpxbJDbqvlOj5Pk1QhlVhraJPQduPMIBy0up1pt
AZo5NXK1WfmUzdZwDDRGptEyb5S71vYPsTxVVoBCQEfF5f9i51a6U01B19oEHlhazmgunvqk+GkO
g7Px5a5vQVAA6HER69D7QLv3cqQBYN5Io8zGHwUAYYFhqmsMtb6z08J80059ujHe9cwYDx0YcdUQ
8CxRa52JRiIOi5bbDs1T7dvpqe+id2Olj8fb+2RtIFoOoOzBcEArcS4nVpDvGW1pmK4CEuYkB9yp
OUgNt7K2HpLVkci9ng87wpCLbZFPjjYOCKcAiFHUHXvROAUVainUxaR/Y1K8WaT8aNvDzl6cdTjZ
8aSktemGfUqyB4gfeGOf7SMU9V79EgtaNpe0hruLwMBcrh+kLFEXLU1XQ+LQTRo93GM21gBmUE3v
1Z8KUgHZGBr6ZDHLLKmUKsrOc2q6RkU/AUtOHwsYNS/eIQQ4/Lw91sp+F0U3OvpiWkDSLqeFw7XR
wBEykfWxvgGdHd/1iB65s9TnNLQ1Y+N2vo7ShFQK2BgVQpvoMVwOl1p5UOXKYLqO1SC/LPeOF1tp
9NqCExc/n+pPZBYnazEphxR2ogRtUn6gaYnls8Cc1M3Zj9viBA2CXsbtVRQp0OWbczngYlpQYhq+
I/tQSSa8kXTJ9ihy4K7QzvpDNGiR1zj5llC+OLHLQYFAWLBzkCKEGnm5lqiO+SOuuKbb5Zn51nFG
yWv1KT0hwRwdUoqp+2oerTMsJP2c5dPw5fac13YORE3qHoQSsLsXdzJpYFfFEcpH0jj7e2yx0n2h
t9kh46uewPxu2UqIj3Y1XeGLSeGALHhpYjgUPSdPmziAKGx8j/1WMndSNRh3dmYXW9W91cEQgAbC
JRrtyzJiRYKaaA2TG/NUcNWD8YxA3XQCRhm/tu3NZuVMoD4MxlcQXC8/Y251QxbOlekOctTCPkIm
jIChceXUrj/wgMePaVX8G8+coN+Ih4d3h3Lp5aBtIPXIJ3JCqqlJTvSKWtcZg4b/qJV938by629P
sj+qJDQUKcsso1zd5m5WIyZZtijK96aFZYChS2dHLsKNfPe68C0WVBCnKABTnVneMblWpdRF2Sim
Ljnjvle6VMcVaPbvdCDND5ZVSZ/HmsBIBraBLl/denVk6seJDGNj2mvXHZuHnwP4DWmCRdxLvpr4
fa8x7XKK6dgag1tYobYRHa3dPsiGP+MeSVuW6g5S1YSgJXrDTS1Mqcmokl0Sav1Oz/HKMn2jdxHO
2/KbuI47BcaR7jD0S4LPJYZBr+wamD9iZ1o5Zkc9VkGoD6N5mGN6Nu1UDm6Q9P3ZCZOty3bt4hGZ
BFpKYNGuxCOnjLexrjTDNewwe5fEeYVQ5xRRt6HLjHO7SZXxlWoB4oFE5poYV1QVTf7h8rwgYyRl
jTYZLoij4DCphYTkTLsli7l267wcZfFu+SCzozqaKfHlcudNUoMLfO/M+yjot8A9a0NRngdIQKCB
k8bixRq0SrbnSDEok2P2MMv+vA/pDXh5aWyqG19nZDQueev5YsLPZgnsmcc0DexWRs4YQw7ZHcdE
xSXT8O1viRbl8TlOQvWYdQq2Vijq1A8+qm5vy8EORvf2k7V2HGmEwbcXQgGECJdfMcq1rlAUSqiG
BmWib1vrbYhKyNfbo6y9yyJEpHkKTJrQ9HKUOvN9FPMC0y3aUtV3+Ir799DshnA3tIMU7vUq7H6O
eYWLVTz7zR3+NcR2t3/D2pVAXCBI/VDssa+6/A28i2mZzInppg4mLHk7zgfT6ofaBXhVHhtViX4b
Zq5tWV6sHU1wQn9KGoBHXiywFhsFPueUw8dxlrlz626vhE5F5arX8PNU/U0FqrURgaaBK0banFth
ccPmhTpGZtSZ6NDJ5mMjS/JuKLjHAx17jzaC+rkR6q3tIQErhkVmcPksTRokqfe7OmoRfBzRI5z0
oHgYnNHf0HFbO57CFYwMG/wy3/Dy+1VpoCPdyHsJqFHbp3pgez1mLHu7SJxPt7fK2gpSsUQnTIEy
RBx7OZSmFpnWD1zkZujDyDUkFR6uhHAn9lduPWbTxpt4DVjl+nw54CLFLlQ0U2GfGW5bJf29YleO
q3V6tjc7O91XVeXsdWdIDrLS2G+rMvnDHjAOMB0fHdi2i463Z7/2a3ifKcQLIwMg+4vTaiKqkzsm
ydZc5dUfuAmnWCjVpTTsI8nInopBm1MvNIMEylWiZBK7OMreIFshUYjAgHc84ZnevBrdQoMHdA9R
vYhBkeG6/ChFo3W4qhLbT1AbvbGlFtrW5ptpLCzv9gKs7OeLkRYHqIp11TfxNXAVSfla1kl+HGfJ
3Ej7VrYzgxCiiHYwE1q8NooQD9PSkYSsNtKTXk+Em6k/uE0QbYVcq0MJezdhIU5rdnFyZiMv+q6T
+Z55jP0MXZa7Mqk+zdq4Zau7cnC44GmtINfBjbDMvwacyGHOUxGwar09pIOK9SKwt5Nt57qnGXH8
+jAPOA4tDu45WutLabguluxSy7h5BgvSTdSgdTopuXwKY7sK9ykCU58tOQR5f3uDrE4T5hg6h6TG
V6JayuC01pgTThvFbL8B3jI9Up4guUxm/0GvjXnjRK48n7Qbad2Lio7QaLrc+nE11bkeoF45KvFA
jaWYPaPuEOLhRAgH+y471sFkvx0ivdmHqJ9sjC8O/CLPvBhfbLAXtca473Bd50J0B12fT2oiJV6T
qvZdWwPq18CS740p3iIRrETTtHVhVRCd0HZYxgy2HIy5PqaWi9NeeQoRctsnhQyeoHLCU4Pf+1lT
knKPWJO6cf7XpktMRBzPVcMDIP78xXSnuKxTi2vFhRweHnmJMDjsIm0fTUX9MCdddeqy6tW4K643
whMKZvQ/+diL6w0AR8IjzSGNbQqDJAuZi81i/IaLdEvBZO0+oEQCYYQtrJLOX84vm+pUQ5uZ+8AM
YCD3Bu7d6PcceroIG0u5dlJeDrW45abeVHojtQj8ZpbSrmLllCo+AtGlru0MAqHD7ZN5zf4SMAAW
6/k5pQq6iPKsADl2anekl74vPVWDqd85Se14VoVNx96fQzw45bqxun089f19oUnwvpIpwqc8HmpP
ivT6axIYxl7r4vkjbhfWt9u/cOVxYVvJCKWKgg08xcvFtzFaS5FfsFxsvbo3RMa/hqCqzrcHWfnC
PCs84c9VKGr2l4PoctWV1tBZrj/A7/MNKT6OSdnvysjaIitfSw1QKH051qJuEk3t6HQ+6kLmVFsF
0uuzhXGWmU+/1NBpnqJqbJV3kAasDGH8KPluDo2Og0hQJdI+CU2QYhbtBcvLxs7etaVk1q9+aYUO
Ec0g6tQ8gMuLxHIkufNBxbhmLLV3g4QTfVpHihcOlb2hIXL9cckueJGgPFHVIea/XHepmxPZjlO8
kSRDfRhicz6XaOdvPD/XNyNVZqIGke2LQGURnkpmq4WzFJOoEqQd7LEszkRj1HWSdJygPZb5p2YY
NBxLFfO1OCLSJzI4kfqDt7/2sW3hqdDJw8O75SVoUL9Gm6gaD1ObJu5r9zBD0Szj+idrI7m4XEu/
8lMtTivDRYwSJcQwlk+z32V7Mpgv/8ZIZBSCsmSLQS9HEnjsEf0VvpojtYCncciELU1YOyraRqR/
/bTw7yc+ImYgYrkiEshFAYwckVzX8vP4FDTRd+6z9mCNcUzEnwy7tEq22AvXd/DFmPriSqwmCU2P
hjEHQ+pd2Q6iPfB7PC3HMjxEyZBtzHHtELyY43J7zqPTDvRyGA89Ow81+OoQhJqzcapXZ8UrLSrt
5J1Ldbq5tmYt9zHDVPoh2Q9OZUO/7s1dkczjSTLt4Hh7k6yOR60GbhtxLQy7y00yDCnWXRUyhKEc
IxGAkfrBVtExqjIqmIHRbNUNVg85bUlqMsSYoLEvx+vaLI2ok7JTEjs7yEaDAFU4je/gmId7Ve1s
XG3N9KjWWrzxeKzNVNA3ibnogF1lJmbdxEMTO7qL+WpwquORPFRq81M9yvVZmaTvtxf2mkbLJCn7
kttzRWOhIn7Pi3Crqnu1AmJuuGoo+WfgNsWdb7TzLo4HlKmMtPN8NA93vN3ST1vLvymJvFX6W5sy
oFVBmDGF+tni3uYlnWrFGsm/SyvxKiNGaTmyJePcIEBxnqRkC+Zz/UAzZwUAmEVHnQRhMeeudIaQ
jrbhdg0nf7bhfLdmOXm1X/y4vbyrU2MwqkFCfmiZIlVpZHZVSS0DYbHSk/so3/UWQl+dOab3haJu
2Z+u9BoYjTwdpwKubvQuLj+nptZ4ciCjwr0toFlBLx+yzMSPPujUnepE5TmVAkSIp0F/h+BZc8yc
UN5rZuJsPCBioMushR9C/UsUjGQAWuKeerGvVMChLd1Gg4ja8klBA/6jlRW3rwTABw9D6wR7R2o3
hl3fz6K4i1WqCEYXmylNOtx71Y5vW7cOheS6UT8MhpaeW8okvxA/lv5lTOgspFakP6qW3x3HQeq3
inKrOwx0g6DGobiwZOKaUaONc1BSd3SS7pQVSfjdT7uPQTorh9s7bHUkUV4AuoY1xZICBUOVaoBP
OJK1tvbBnzrnTadLzXmmwLGxtmtDEdSLE0q5kW755SetZDOYJJmh1EmfThFyAhjOxPVhwp954xVb
HUrcvoBECdSXvPqglPRmiLiVYrKwfQiz+tucIIfum3306/YCio243KgCgELsAfAFqd/LWaVpa9cz
XgIuXKn6h9pFvC96uEUFXbkIkNUB7QocVGCUFmuHcWCrdPTk3XhAst/sauu7PWJpI5nqh7YLpo1J
/R/OzmNHbqTZwk9EgN5saaraq2VnpA0hN/Te8+n/L/sCF11soghpMKONgInKZGZkmHNO7OwfclAC
yQshjYrtxpyaT/OoSAypzZcaQlhmWj7X0P4uVQPKLdc3cNcWJBAAvZh8IwgF4XTSizLhWMADgbOs
Wne9of/QnDX7fN3SzqvMe0z6RoIukImbT9WX9A8ti1gqH2pNPw2GFr03lSgDojmsrYZGsZ0AW3Sk
O7i908Hp3/MsqHKT3IJ7579tDNIx0rHuFmICJMDT05Tq7WOX9Lov2VL/Kc9yJBWstEsZmaQYd2U6
1gHE9Oyf61uwt9niUnCKxJD7Lap4rsLFbmei5V7Se9lr1KS+S21IJqAQmFhw3djeoRVaq/9X3aNO
enk1aEyrkxwWpDqZQ5iV0ltwJ2PqT+0wjplvrI20/MVhem1SHIFXz8bMiDG7XzrDd/Sxv+2UYg56
JbbfhUpyJI+5e5pg+KFfK6aTb3GZ2lzJMROT8dFViZgq6VZzZhJwHxiZbUkuhe7sczhb7RfJnJSD
sGvPNkoGzLLA4fBgb5ZJh2OqGhyGXxWJ8uA4qKVEqlJ4jtlqAbXNiUFpxfckqvODT7p3fjg8PE30
WamubfK6ee3Xkfqs7petJZ+tJM7dMdf0czUva3D99OyZglgONeyFkmxufFCpo3qympSjzar/VVqZ
8VyYeXeG+GIcLGrvnDIuSQayDdue4Pny0DCANUUBrzL9Aufqj92oP49zC4txkYXijvXj+sL2giwQ
MjT64XnTut0WeGagw2kuEDJ2E8bfc9zeLQPxjPs5VMsfDsXaTwssPV+qIJwl0mS8LxZax1mVdAdd
1Z3yD+xb3KEo+YvFbzxi4ozqYLbEl8y+jVyplZaHugK+vrbK17pea0rzZnLf6G10y/RJy3fkQuaQ
mTU1zgyFsCinIWpoR9jEneAPFwkbARIS4LotES2sDGMIJ57vTEJtxYFCyMSfSGOmNDHDOENOQ4Ly
SIJ75yG/MLrxVnWO7GFIjVdwdUavstTuHII8P3gG9s6aQPEw8pyvT0Xr8qwVoRMm05SYflKrXwYr
Mc5rD07AkNMHJZTL99ePmriOm+BElJhEJRyDlHcurS2SOkGRU0xfDivFlZOI0XEFM8ATZSxuIrme
gyidZFeLqf1NYZE8Xze/d4UNgwMAZgiuxxYMbDjpaIGfAZWVIGEZdknnDq0aeUYSl+e/MQUMAsg4
ccs2X1hR+up0AdIVg85vEFMvAzL+5l2q6EfB+e4nhFVCxcl54WVebqoRZnWB5ii97CmhoVNG6rtm
mBQfoT7ko+rqCKuzu4uv7G0OJvKNdTehUO87tZSfVtgnHincGjiSfdS22V0anXMhu0THcZv92PaS
zB0FPT9CBOSeOkU+u2lT55Gbl834aOjJH0uPonVAMQ0mHm4IyoxY/KsH2ywo2MU9JX+43ZZXDInq
NqG5uk4a/jGVemNKLP6VqaZzkoElgXRYJ9NNlGHwu6YcD6rIe1eOAhPdd6rIVEU2F7zrRqVNuVC+
JjmdkJm3mcoaKs5drkby2YgJAPPaCe+rZK2/q87crQch0O4PEGBIUedFiXTzmnVhuHSI2zMtr2fS
h5tmAC60cXR+F5UuMQ6C+25qo3SSpCj3FTs5EgbYO66M4KAZxlOKJs/mTal0dJEJ8ISHG8qFUat1
MblMINU+zmuSht71e7+7WsE0YrdRs9iCI6GO5qURYk3tlNm1wml4tyKt6cc9olVmkhRINUrRg1Ur
5uNqzEe9mr1AjE4BpW76VhSENmeKdqBSDgbuXHHiInXlqfw6yKn0UTHC/qROfNxsrHuvLbruwOHt
5hM0OAlbGNcAgHjjFmarG+R2BinkKMP6c9Tn/kQhvrqxq9G5aVBRe7CkqnVFqQNsKpQPqin1UTdj
79EUQw740nxzc0sM0qQOYvxCc5ka1rsmD9HHZPTq4TiTPb9EyxPNVyFqAb308urmKVohqQwe3ZC7
//S8U05xzWCrOdf7gErFEed+d1UvDwnwSHo12yNc5nYS9qAjO71ljvFM58lcl6PSy97RFREAtTaI
3QSDl4uSos7JZubg+Y0aMSJO6tvlsc3RuTwtiKElbtepUR1w0dFbJUVWIp+pUvNfoBl5nsG706RB
AghJj8ufgSgwY08UKm2hskb/MilrccdpKu+kysoZUzdbDBoZ6pPMAGpXL/LqRquH8EBocu/7vv4N
W6cpp02SdaA3k4VOs7TG7QNT69WbjNmArgwg/ua619j7wHgoxoEBPuFIbbbeHGbdtCJKxnpVTTeV
0as3DkMKPl63sucJKTWg5QvNBjubGzrFVC1pOBr+xLSNn2Hf6IVrF/mYuM4Yjke4lj1XZOuiFg/L
BlWjzR4qg9Uv5Ur8KmlpC8uUqXl3dTLlsWfHGmOYeiWBVlCafRq5PQLSRxXb3dUSNyBPijNAw/Dy
HOntNOZS11JaMCb7VBfdcrOCWYLOME8HeYvYuG1Yy7EUdCJ0MUCUXZrKpsUsV3o3/mrIReQqWe94
lrSUfg+WM0hQZvWzpTjiUOxafekMM2HxLcW9KREtKkTnNjPz6rYys08VrLOzjCjDvTQhH1hG3NQ/
P0IU4SgEvwBMtu3vSicZfSmOxdU8PLaRvH5WxqS/gXF66GT3LoUIaCm7awyl3s79obY5TxHTl/28
TatThazO46RU0cHV2zumImMDCwU6yN6uaMxbfUBQ2PDjStX+M0pmvvst4vPnJSl1H15hctejvQZc
KJ8OmCl7JxRXC8ie/7h4m8daHyI1NiC++fMQj7ddnKtuyG7cRW10JD+ybwoKAxEQGltbsSlHacDt
RZSB0ZIrgsXqv3dzOAYII/QHAdCOJfJJxkah3c9LvHUy7TQrjp6B97SGRPfQignvxsk2clc3B+38
x6cR3XW63zCBKR5uXUwXKePMLBDT75co8XtdkRBptZfHmEnrBwd/50XAFBgnjgh9ti0X19QhRGkp
NZKoGqTfKdMeXE1V429D21iAaosjgOrOY0y7S/hPNG8JqzYvgqVMWSKbuBSlskvp3VRI8qc6RCbN
zaeunu7SpM7t02y3OqzF1cpdaZ6Wf69v784FfBmNRCUcdAgZ2KVbs/NII1im8jPoZvp5dIY16KBp
/r5uZe/AUNiH3klhhZbC5r1vV7JXNBAJbpSQKXn9lPxsBqlyQ8KQg1xozxQ8IeoO5Mr4sM2m5pXT
MXxw1n3bidsbzW7M5zIisjHlQ3W3XVO8CDZdQ7pY20rWIlNdniGI+dZYr0HkhPFtNkDlHqwoOQhW
dj6T6FM4SMZzEUBPXX4m02wH6KTMFRq1ZD7FSW6dE4uqxvXPtHMBCMZw/XSwhOrPJo3TBxtIiXht
SJH7QFGH+h97nIqfjtT9sNWkPyhK7uyf0OTA76OFz6I2n6q1rTxkLjLOv+jqd8xKQoeX8dOBqkxH
gcre/iE5IlpZYkz9doARj09vKCvNpaRVlRu7GYegiTL9YP/2regwcx1iEvLRy6/E+N++poWrEwlU
5Q0hifpgw5y7uf6VdreNlxGIB5QD0sBLK5nTM22toZ8SMWXtJDGAlex+lB9HK/3+55YgvuDkeZ4R
x9+shzHsVY/qDJX3Ttef5HJRb+YlTrzMpMN53dSOL2QePCxc+sLQDrezCIuypJfTEUmWSq64WlRr
rhJK8Y0UW/9qUh7rLvNU5Jt2mJEXNjri2ev29zYVdUEIlvhi0Zq+3FRiLIhXJdE5PGD5DIXzc6VX
lC5jbV2+XDe1d0qwwQhWiEJUDzcFUjkss6JAMsDXm7YTYvML0hKNo+YHS9rb0td21MslZbU6NRDh
uM1LN3y1GG95uy52A8MxzU+NtfbnsaiNIJaq0J2n7mi0x+6OilwHhDJ1560z6dPanPoOn79OZf6g
MsfioyWvi2uEyqfrG7pniRGaIoyEe/JGrm5eV7omiUoDbsiyG0bhOh/ijiwd0VzzYE934nHWg0wI
saSA/olv+6qeNzuzXeUdvT4UJ/JfzqDLd0YvZ98jAA13qJsVT8asjX9x4WlK0L9lxDqM/E2W0wGT
yFPkNP0lzTQ37mmKjGXY3zggDfzrWylc7ibLEe+LqKwg/MgR3axPU+p21WBKNv1MMpOFQ39Oqiq/
jzUrPLW9UT+jGC/958jZUVln7/HhdaMxBKgK6vHGdKuq9SjFMb3NTIXKWNHwKa01c3kjtKCTy/Yg
sNxbKmEetQxBQoNdfLlUKTH7xSQ4B7SvGrcjyj6uOoetX2pRJ3qLqlv1ZRskcT8E1zd5zwFAbqQL
InTa0N+9tDzCR2hWrp6PvcZz5jkuXNkpmwPvvWeGWFbU6ii4vVHzago9TYpa9N2zQv9eMV/hXOfK
chCZ7N0IQgahyUp3ghVdLqaNIZJEIXpkq948V0VmnOuukM4W899Baxu1l4ZSdXAhdlfGc8Q5Razn
zWitvtY6VU9YGV3B3J9U2Ofj6vy6/pX2FsZjhN4bGu/U47ZfqZJih04SqjKqTMulmnoXkc7OIz7v
3CQvaneokuHAv+ysTDx+Au0L8f6NgC/C13IlLxL0B2MYRtdK5fq+nZP5AJW9b0bAiQn5QRRu1pbE
EaOjc+r1zCaQfteLkX9Wauuom75rha4xuG/cCZiFy6MRFxpNiQzmvlWb0o0ZSUvqNsOgH5xA8WM3
PgsdbzGtj6oacLLNYvRirOR0oA1nWKn+VCrSjxAtX2TrtbscRNa7vh2/yTPzHdTRPqrP7Dw9aDrS
SxKy9UgRbpao1IAiijAS4muRc192DYqyembObqvMunVwOHaNIccreF28QdvOaoNadasnos1TLM6z
HPZWoBoF7WJ5qKs5uH78d42xm3w9mLpEgJcfb+yiaAFjaflVU//GOTYfmT3KsIM1OWIX7R0T2Kys
h4AWoNDGkt5JJdIIIf2MomlPaJJMq7sws+uop7mjlAeEliKTIOriOLZki3ySqd01fCy5RbGyXtT4
YazLLkgWa7zJK/h7fj6tmt+YCTMW5zFSn0cE+k8JtfnIa6e8gQxpouLtX9/q3QMMlphCCqNeKClc
brWC4r+0DjB8VJ7Wb1kbD3ekyPXgNvMQntgP20GaBi06t9HkLPHMrKibg/h773NTYgRlIyq50N0v
f0OVNtDdsxa4BYnAI9T+4SFtzfnUTuphrL3jWcHho5sCLpO62DbWVhIjHDQKGlRtY/u26ivpvBhD
65kcuX9QC5w9NUq6vzjP5OgChEYk/0ZrQ07NzpIKQIVZZy5f1InJtY6SD98KEpq/uKfUo6nA2cxu
Ayp1uZctIOcc9Wicgoo6txuqofVfpuZFeR6aVtZP10/P3vVBoBdCqxigAxjh0trIyIw0ijg9MeDs
7Dm3a9Sq9cZa/oKmQcKJFgMAIg7I1iMMyL9IZFBwxNb6ndUq9s8GeZ//rq9G/NqtM0f7QPCbX+rP
m9VEvem0YYiPk6kF3yNlrzyH0AG9OFEHBofPyVGWtHfwdeqKov5ArWarc8X85sgBNIj4gdOaJ60A
Rpdm/XAayvBIfnzXFCUcAmsaoNQHLr8UrelRYZIGDG6JoWNdr2U37diMQWXHR2imPZdCg/r/TW2u
s9bqVtU2DqJuGvyE3qRPYc79155pmig6z447rcoaxHrbu0Vq1Qe9kr0jCVgPLTTwgDjcTTJd9amh
GrS7fL3TjfcZjJNTMRX9QRS4t53kYoRKlC75hMLNvM7FcnLoKQVbkS1Re7OEC2PXgSg+ICc+na6f
yt2nA1KxING9pLSbT5dGFZj5JgJV1CihcdvmZLGeKo+t40qIciK72kT45zmifPxkrhGTUxitUTWu
uZjKVxD981ktm+nX1OtSdfDj9nYbTjtgAHhNZFCbb91BYsoVTdT99aL+vFRgPAD5/gVohiHzlNCA
Oon8ULvc7SiuQztTYM4PrRIGlt59r+RGuomU9W/cp6BEEjiCQKI8fmmJiHw2JhVoJPrDjLIwixaB
g1xWGEyaUUM6UATYPUWU6hQFYS2yMvH3r06ROpZzrWRCds5o4m8OZcKbNJfVT1mYmwel6b13T8id
UDlAgABp1UtTMryKuC8ESgYmaaCS8fqlPVGfVpfInaxpvpPMWPp8/eiK/+nWoQqZJyaCiGF/25qk
spSxDpGGu9j28cNs1JaLa61Lt3E62a+78QgVt2uQaITE6QUistnQkAELdlHNaNoxTB0BEMX50VgQ
e8ZOi/+JK+2oQbS7qy/Kx5wMYfdyVxHIkZxFpsMWMcDwKdd647MiFcNpXLUczZMmkb0e0bujaHL3
1r0yu/EIRtubPTOb8LCTrHptktc0wuojUt/+ZvI2AXehqbGt+xeaKamxEHIoSTTIOA2F+bUGGtMe
1BZGnJEbon9+/cTs3Qihlq285Gx4lMsNzdqsG0H50LKMdfOpWwotiCbdesxsOzmIOvc2ESwotAAC
JXqzG1ORzICRmfaTbwxJFruFDI7LRSvhME/bOyTUtRi6RPwKGWhjaKHbVCoF/PZurJjyUZn9egqV
qamDWS0ZtJ47duAMTf/v9a3ce4YtMLAW4ARGjmyZTgOYnigjt/JjqCzn1O7772ubgsWIE+3e0CTz
ZIKb8NCUb+G96s6Bw9lDfdN1xrfBy6Re8iYDr3JlWkHg0GFskLWDYFM9GzGj+lymrCut367j9NDr
NVPR9WECeDkBjZ/cerB1ZELspjrqUe99B0DouCMR5DFm7vJsoZTNx81FtFXl2gN47uhEypz5Ti+X
qbtajeKjClQd7MOuVbAb/IMHBGR6aRWW/TgNPUFlqsmiolhpv9NsTu8RcFyfqoTyG/TKI2nR3c3n
XRFSd7IgNm4cE50opkqhqefHIL5OqLR1Xle28TPqL5YXgx3+6oDReyh57JgDIZvECmHyj90hv3X9
FO7dMkE/4iQAudK3AYJqxebIlB02fYzDM7kCEnWydpRB7luBeo+GMOXULdNJmnOguwNpvDmt6a2m
TvmDmRrSgXMSbnX7nAlBG84QDXMwHZefck4lTWtFfuBMeUfVxTTP6ZzN5ylV19t+sCq3CpG+N9Na
Pl/fxR2VK9Eih0RFbgJEb5u2WoOCEm2d2VjNhmfVlmQvzIvlC3rw0xBIsL2Hc5Zpau2Ohj09MNk0
Q8NNfPBiNp71RkmPYLe7m0HHA5EzGWnMrQBhFTbIOnSWRewSLj+0WVYTwF42E1rUGmnbO12J0MBp
Nf0BSdIjjaG9p4k8kNIoVWx6+5urzKRgRYtWMesgLIb0Saq73I9LVXoX6VkzfpXjSD9a7949FlmF
KlPBEeMiLz8+sVVidBPrncLQMR7V3rLeq8wrlN+rc6M+Z0vfBp3RaAfpzM5KAfjjsADdCoKuOPmv
QkTc45LCKUM53VLSd7nK9VXWovjVtdI/qzGWB+Z2Hg2mGZCOMh9DEcrAl+aWrMoaClCcs0Ezn/Ol
ZaAQxNJvZlhqi7eMjn6PYo3yySnFjPhVOtKX3lsupZkXogHHfKvTueRtJKm5botWbFi70ohsgZtR
QP22toMjQip7/XVwt0RGuLnWZN9IXAh5M+PN3WqLBcGVtrf8uavjL10zqmdryqJn2DfmryQbCncx
+7pyE0P6oS1a7yPNrx64yZ3bxG8AjIOYL+jubbe7M1OmK8wLFU+rXM+tWaMtAB/tJlytwjVNqHew
0a3ilLVFeuDVdkIu0jd6+vBmSLK2ChhDYZgApTG9FMnyoelr+wvMVftWWR37v4OtFqf1zVaDnaaj
Ifo1W4BMoVHyiBE38UenTp8IA5zfFrNXZ8+JVUbMhqmiVkQDWftkTZFUu4tcyuopifh9bimnXRUk
NJUQVOyKGFfXqvXRh9j/hZwESgc8nNvOsSkNcTFkCTK8obXkjLzpiweqx9rN9Z3YM0O5TCBC+JdZ
BZf3rDGqQq4SzpwSxnHlL0kFWq7J1/zjdTt794ndBuEFuoA0cxN9GEOV9o6GLhlwryzylCFtPsmd
Gro9yQq6LtGH6/Z21wW1BQUHxlrjLy/XpWhZudg2QXViL+W/oA3kX5Y5HGFddlclgE+AjVnTVv26
q0tdXixUnIp1nZ70KqXngQS330hW/x65iqMrsuP70SbQuZeUOYBNbHx/ZdPzS9PZ8utpkHJPRnOj
PGlG3EdevA5FdK4UwOsBw6Djf67v565l6tTks5b4Y/PQmbVtLE5H7mBLWfpp0cPoE28FB1OtTd79
QqFiWEmLf93q3itAn0dIx9AHfFMsHBuCcCklaK9HRxsARq3dY52p0TsIfLBulVSTmlOSaPHvuE2c
2KP1uvxFJQZZamAHQoYXfNtmz81VKRH6pmaud0pDs0kuo69OmTmLq8/NEatm70BRxgICBFKWIQqb
a9I5xkAQR3jV53F2Yt5m5obm0jyUUfhjJaE/2N+9r4q6F4VmQie6T5tX1tamSaWpa8Nx1R7WUGtv
ykF+Zyxlc3YWQOvt0BzhPfdNkusiB0A+sCWuhLlkFhQImR2EvBj4pqmBDd/bCyqNq/OtMtPinglJ
xgECec+qUAUCUsG2clcv3YGa24x9i2W6SxrliUKKpUAyov42WlPnh8k0E4+5UIeiLntf85XVbbBs
IimMmBldCWnp5GcHBbDTXMjLt6XUa9kj9JlUdxhU6hhmYj5J6qCfGnQbfaWfVhNhJlCOZixrn9nG
7mOUVssTQwT65+t3bM9Toq0lJh0xDpA3/3JrNGmJugoQvB/P0XqunDJ86oa5Pl+3sve4o9stLrPN
U7NNjNollDODHpDPBAQQzEWpe3Jmyj4xXH/6c1OwMagw0l6jLi6+yqtIVZGZ0uT0RKqKMzJMWkp1
N6UCdkZ8Kjm4P3t7B0RBIB0RNH0zOaMwCdLKzAbSm+bZiXFU0ilXrfHg8O7tnSBgvQA3QRCIX/Fq
QXOaMRBbE1W2YvkNIC+6Udv1G7XgI0jJniHSSaIqVYwY3k7Zq2VlqPMGtJrU0jgLM23y9BI9pywi
2v/jj8SQItgItOxIm7Z9tHLN0nwUUMcKUug9ivhZoII796Aqtgch7c6qiPEIb9hCMpetnoGuZjoc
dsDza5KE6NIP2amitP5jRT/+L0yRkYOJowlBm2DzpaIR1YAJIi9RjlWfKezHgZWgatClylHFd68b
Q/4neDgCu4IQzuWpIA+KlSytLT9P5eqsqI3kJYyXDJYxGtySGrM3Z1YTdPa4uOESQacrlOYcr3Pp
xvKw3HalkR8ganb8HQ0vppgKCXCav5vnZLHLvFVLli8PSeP35ggDq1KIj1Uz8YxpOJKc3bWHBggc
HRNy9DZ45clmQFoDPCOeJAn8qGKswdLO2pdFC7WbMG7Vgyh27yg51Bh0ppnD0t4OyBg6DdnDkShI
murpd5pW0e1EJBBMhdMcAHpeOjybFIUiki6KworIhDebmU15CGiPJ0tSqtH0qp6tfZKUtkOFi976
e8ZFm/8latcOvoQ7Dd2VyBq1FzSrGviC6Ty6i0HC6DMvBerx1Fn1B2JhxQritS1ktzOc9bmewDh6
9aqOn1NYEKW7RjkMd/g6cevmxPKxV+hS+ZTmQnFElodedaOIMSG/KmWWDZeJ9oN5ignqIwi3zUhN
r2na9/laD7/Vuc0lt69NZMyWpZQbT277avG0uMneT2s11Gek9DQ5SOtOlXyzLdqPaaoaP9emMj/E
ReR8aOOwXf0OubGjnsLbyFL08JjExVwF+t5bNpQ+ID5iKCPwBFut/+2ahYk5idGfG8Moz46FLmft
EN32aajwHMqfrnu/twdXWOd1IgQSQiubJ2pg5FFYZ+LudmH0yNyGvnNJR41H0xg73Zti1f71FxZB
FjEEDPViXuBLb5EtnBvFgrRs45CfTFAg3mJq1bNixXXQ1b194AnfBlzUWUlUUI9lpRQ1Lu1VjhGr
y0ibr2e+GxomcX/SVLv3KmYDkEEryymFN3WwrW+vJ0bpEKEwDr0XmMalUSdLo0LD6/lmZ+Zf+jVR
qUWOxlMIcvjgTRae/PJ2Ygr9HwqPFJNBfl6aitJBmpaQ/DLmMnpFIoXvolQ2Dmr2e+fktRXxK169
/MmizUlpUj2vV8m6y5tyeLAyLffiUTZSV0P/6G8+Gz0o4HwQbXg2Lw2GtpJLEx6eDLbvg0pdcw9g
+XzO0xa8JyzX25RJlH8cC7CXAoQpwG+iR3RpFPamZkDpoS/Vx90HU09CdwjH4nlqDskpeycEKTA4
FkiSUo3YJHNVM/SdZHDtB71ErUQfGw8tSdNFHeZI1XjvBjApWQijoKTEU325KjILIXwBwCvqmZlc
jobj0ZQLPyPRXj+a62S4pl0cUdv3DswLq5yqKd2BbViVrI3WripbmQAenM6zkrTvx9xWA7QCmt5r
tBI9guueZXedQkWEVxFFLlv8/aszKqPn0Xc2gMKmSdRbJsCOPlzF5qFYIP1oDOA4o0tQnf/GKCm5
IOhSK91cP723EzSQgL10uVxB3u+/DQ5xdyxJvSct2eRlpXK00O3ewnoWxBhCO5jeuO3N2UFkBoZi
lq0BldjS77KI8eVhGXt1Uc++WjjrQWlu+0S92CNohQqA/yR2vdzYMOsceRmTNZiyvn0vek7nNJuG
b1m4NHdgB+1znUbye6epQk9VGjR+ru/x3npZMq+jUNx5402teqCTYc6s14q/WWk7v0+glbumPt0W
Wjz9vm5tb7UUeZiHif8GTLzZ3ZrUdI1pLgVRqDLraGniu7Qu5fJUd0vzUZZquHjK0n4Nhzl/6Gdb
/Xbd/u5q6RHDr4UaRwR/uduM/pPGthvXgAKFjfSEkfl63OeP5qAorrQMRxTNNzIi4vMiCIgeGYU8
2vLiB726NxNjFsdQhzOZ9aVys06r9UskZedu6JVAX4rJl2pJDYalke91JYs/xmDWDqKCrTvkN3B3
LAAByNwCQ908mDNdjY6PvAZ67iz+BIzCS40091I4SsH1/d01xUkiPwChRd3+crnrFBVqRdMkQBtl
eNLjXD71pVx/HufyiOe4Y4rrwiUlv6TjvEUzrn1i2F3HuA9gjeYHUytIDaYsvS8y6WD/tr6P/aNi
giIVbwm4ou3Y2DFKJeAbkRyouRn7kryi/zcv0o+IsP4pRWpSc0u96A6igr31mSTphKb8w7N5uZUa
FVC1ZNxYYHWy5YWo0LghXdDbJj2cO7h3SkEUcS9AT8BJ3K4w7FmioUhrMDqC7TFb80JhIDVvChof
Xxcty3+u9mIhxmuoJ2WtbRkxHBQZD3zRzkYLPVRBywUj84arweSPwW57SQ76bPoiRbp0Z1BDQ5S1
XE7xOtKg6eFsHRjd2WfiV1FEQggRPor4+1c3dC2MXJXzSAlIT5SzEkXSKTbm5MNM5nvwnu14P5Ip
+ghABqj9bil1RUnlXTEzJQiVxg5s/jjbCqLTSaEuQaPVw4NjI5HIII7Sr4Y5O0jc365UCGvAGmSi
ufADm8upSdUsS0apBC2zTfy5iOJ/Iydv/SVa19vrfuCtnxVsZ5IuMVWCusXG7SVFm7bMEFGCAjiS
ZxX5cDfI6npX107tam3Xf75u7+3OKjIDCsCE4w8ER+XyI9p2C5sQofRghgfmtvI03nRW/1Mb6uzZ
UKr6Xuoc5U7mS7trXeb+des7GyvkLYk24eJT7t68amqYh1Glj1OAMnx5LyXxf4XRRM9Wl8mn65Z2
1kl0ghoVVQ5Gfm1VqRZzWOzFxhXNrToHlaNmHxDfX24jo6TgvfTdfRUx2VJS08rX08k5KFe88DNe
J0Q0wPC1KPpwUsGsbjEpQ0NnvivHJTAzNdbOmhlmskvGpyJabkbxY0cxwvEY06X+tGulm06iJZh6
idyn73NSp+JdyzTO1I3VyKm93kiY5yPYJst9T6xe3w9m0VPDQqwquc27NGzdprGpdGXWEJ7zYirr
g0/31uXQnKBDTBuLtdGtuDw4dMcbJeorbn9oV2e9tedAqWWxedRN8qhO8IZhZf6+/hn3rXIDVSGn
+GagUdHmaFrLWE2KQT3DspvO/TLMT85S9v+1M2l7MZbx9+tGd04pWGNbaH6ipE1h4nKp5iSVzsI0
hcDIw95loIZ2axnlHMydbR4c011TFq00G9lBmcrlpSnwfVpr9pYcJF2tn2sQ0B4+WPLQkSwOPqBw
WtsTSfRMToIdsDkbUwgtF2UVZ3JQmHbmaUm6nM3QTlxZss13TuhIgZm099Tv2+DPt5N4jugOnB3o
gk1UNTFFbanB/QXyDJ3QVPmaSmwx1E0xooNrt/M+c9t4oMUTRf9mO4OhxqMDnkmJQCDV3AKv+7qs
TnsqSnodmTw3N33bt3ezBireLdu08cBb9gfr3XHp3HiydzDx5EVbF5tYkQmNsuX4yMy4TodiuEvG
NP7ZAgl7qBrEXQ4e5h2DQkVFCPkCEAIkf3mINDuKVK1plmDQ5+pTVKVUuKOovE2YBBdIpKAH9t5e
SsFspKFE5EKvdDtrIzOpx9F5lwPbTKJ7qbQH4GxaiBxDbHanKp/HT0tnqZ+uH6O355dgRwzLs4h7
6FwKj/8q/NCHXrPjim0dABx5orDFBHqp/BKXbXkPqeRHWQngmSEdNATfXlF8AV0mNpfPSfp5aVfL
COqWlhdTNTrnfdZnNGizJL9Lsjw+uKI7G3thanNFo3nQ06zCGzh2WgBoQ6Uyjwz7ndxq02kN69pT
tLU/iEB21wfMSIatLQTFNtAQuWIealzzNZVKT/8FeV38sgzekykunIOb8dYU+SROTujCwWXeRs9T
bUZG3y1tMBD3eQuFosdVjT/otSX9sV8FH8FxAdnNNUTZ8PKjIaCRmF27Av0L29wrUOY8VZ2tu1Yi
SR+un8u3kYaAYuBruPNC1mLzWtQJkojw1jBlqcNtPY29K1ltcVLmlGII59FdSobjoZkD+X3580Gr
aA3JOpq1VH6AwcDGu1zqNBRrxUjrLpDXpLnty9n8Eo+W5lIsUp4qtS89gqTupszr4T2P6HrqIVL6
I3CD3ItmOh4H3mHvI4NtV0RcK2DdG29kI+zchiikB0W9Tgi2FPJnmiN0vRT7aCjb2/tiK7ybpLQ4
BUqmm6NrMgG60NawDCJDKz2ELH9NZu3cpWPfBdWorR/ipT9Cq791Q8ImkaWIX0V8ebndcm6FTU5w
F2RSGIkx0KprSuPyuGT54CdiEmCzLOrJ6eKjibJv3Tw6GMjs87WhttHAvbS8gnGMilKtgiqPDSJX
RbmtU3s+SwOzEFcCpffXD/be7pJe4usJGQTO9dJenpZh1St6FRjFZAeJbGUeUmBJYK+dfpO22T9U
M49a7ntrpKgIuVxIYuJ4L21mBO2EfHIVhNWseqnVxOCMYi6TPKdeVNnmHzs/bs4rexs/MRlW51SJ
UgWzXieu2tTWY7X05Vm2a/MgNtldGkUuZjTwcJIbXC6tkrKuDrupCvRGH11EPykilLX0LkMsA3Vi
588reCyN9AdRXgIR6EKX9paqy2NyFLZyzqIbO6t+j1nFFOIWacp2MJyDndy7Fy+oAkZBEDdvPW6n
mq2W2UMZIHRmfIno+HuOlSR+xewvv2sU69Ho2szLUq04eFXEQi4DW5p0aPSzGATeaC1cLlSH55zn
UHaCOIy7d3DTlwezGLODKtMbgAF+9pUZECGXZqK61hZlMcqAtn6CmnMf+Zredg92GL0PGU18F1tF
HMSApL02gpcVp+y2Pg3TA3PkesL6WT+gKe6dKPpDhH703pDW33zh/3H2ZTuS6mi3T4TEYAy+BWLK
sbLm2jeosgYbMIOxjYGnP4s6+qXKyFCGqtVS98XenQ6M+fwNaxjTAbW2SaAwvy5up2qjdquGmbmv
VrdPhbnWs7y4HkOKAGL01io9O8HaUliZgpSzG8O0+dn6U/J1CEPn59Oi2yYTVT/9eDsEXV4RRQtu
8K2xeBaCaK0NynS82llpko3o7e1sVap9QBYOKHp6jc5+4e6CyFC8tdUgG4Iy9+U7NgsB/peSbhe0
aVjABDnN05V1p2FQ5sp5uhRdtzYpLhMMi8C3erlUavsZQiQpXl4q2D1xiytU1ycfSt26O8h/IeYt
FuC3tzf0wqrQ3cJYCsqqm5jT2YZOaEYm8xT1O6jk6lM/T96xnQCX7ZHw57anQV5jWnVl0e0DPPtA
Nx0L6BT+mVCdKz3WQOfWK5NqZ4JkQkeDlPdNR37GU2QL2Ki4GxGH/I9Rza12gbzylVx4ZAg5oeGE
2wQV/bmapYYa0eoiSJkFrrR5p8AbcIxDED2cmo8JHYO8IuE1o8dXRC/c0lAhQhMo2jRsX21016Gz
RqMhLQAUHugOk5QVssBqip+RG5MTN1G57FpYxz22M3DDt0ttyq+s59VQzNTzrtw953uw/ZotOkJe
ChBAGLm9PGwLwbizbcJ085hcTrW2dreOqt7FZtSYp0HFtOzba7Ss87iMRZF7wxEVnRtAAs7lQ6AG
68WikWWRCNF9xm53X5bxKjP8/HD9WQUAJCB20UJ9BdILSoYe2NSWEMBpo7vQ88i3ljFdlBG3p3mc
5F5HQ5yZqupvuym9EqDOA8a2OjqaW4+YbLoD28b/VZRG1sawhies4HZY70QX3UTcn24Gh2b121/u
pZWQEaFvAyDCRoh5udI89pGDKAWw36h6XBZ3aElloGOqb363dlfgHBcXAxZnI0//ITmdLaZY7NY1
BLw9Xhudk5KOucNktM6jcF0+vv1kl87JRr/9v8XO7m/NVrt4Fojy0QwDIM/peEgAkzn8D6ts1SCG
I0iLzkcKHV2ioJw2xC2YNfuw0vFRpCZ5//YqFzcOgBBMqHFP4Py/3LjEDfBXBW6+gMxh+1Q6/gl4
OLtf4Mh75Xletbq2o7eJYwLbgwL01SgKShdJWA8RCKxAqaIhGsn/FOlYjkvE3g6jCHJVQjUbMrT6
EI1T+g6J0r+i1//8hj94DmCb0DM9ywjcoNoq1cDnQy+yupnDJsj8QNEThK2XIuDeeuMZ4q7cnOdJ
ARZF9gXCBwDsCOnnBGpDayL8qkYwo4MtWn/ULq87RNKyDMeDh5L2yku9tCBS6G24iMYpVBpevlTQ
WsqqgeoTJtAl+E4K1FJsd1ikK/Vugvqq5+iFQ4TVAKOCEChSrXN5honLobaEQTTYBP0xGdrpRpCF
7hNk7Vf28uJSuKHQ/UFogfPmy0frykmyzqVpUYauK4Jo8DOFdvReEbD8/vnTQD90E+zeeGaAar5c
Ss8UVYCc8FS1cicx8OcBZICnQKMQenulC1cCiM1QuoGaFKxQzpMcU3tTAO8XKAiMkj4tUzh+wTy4
Apkt7j6ijKW3Xbny3OeuRM/b8SvLX9pTWDzjPgKkEWjusxhQjosCbBtI1RadtX2gR3VwaaOLcZmf
337QC5ETzTS0YNF3gob9OUhEwJsomWfENNaC36yIx76FDRuuXAaXjj+gaPjmQOnd0EUvX9xAOxqP
kGQpzOjaD2Zsxani9ZQTbdNjgNFd/vZTXXp9QIFuUwrwqqHe8XI9C4PRZI0xeJV6sodl4N7PdqHy
yQ86UsPBR+gDndLuvqRWfekSza/Zrrwq9bYIs+ljbnxXfICvWs2VYxSNXlaAgu/zvYvHMi+Vlc+A
lvufRjF0+zrgThdmoGSGoY02O5gdsg8Y57Zw/2FV8rlifPofDlaC0hrGAVs99EooocSAz3Qrg+br
Gu3Bn1myNILykMJE8MrHeiFh3ES9wKzbdL9fgZ0I99MaqhSsWBW0BxDpBva0CJsGWcxj+zDUOtpZ
FV870Bd3HnAn4Jy30T8QHS/fPeJslGqQrgvZi+pTrUJxhGjV8KgEpwdURr3LojncvNIHn2fcj7tP
lYFbO1D/04r2rm/7Zz9uy2sYmgv7gQ8NTU3gg3D7nHc3JCfS2lKxIh2DPjPYt+OqsaBY0OgcAtNX
2QhX1/3bX8KFSILYDIeRrcG5dXFe7kY8qIY3mOYXYFWuqBYis3NxPMFIeF6Lt5e68NGheQJ0B4VP
DM7/9lP+SmRdDLR60OKOc5U37mCzDdwD1QPI1Y3JDcqEE5XdJ6JauWtXaFm+vfqFQIZjBhol4hgK
0/MJVs+1qSkTrABgMTqO8HBHrejElcByaTth4gmxj01dBnXBy2ckE12jssG9Cur89y7u+CeOM3gL
m9RrRKgLIROAqw0muGngIlF7uZKqFJ+7Fns4AbmW9woKNj3UVfNk1ZuXt6qPb+/fpfVAlMcFjlIT
dNSzu9WvVDv6kWbAqpgWXPXmo4bb/cFTfZcPUl4bJf+Z8P1d0eOAwO51mwBCph+Np7Pn0xNv8JJG
VthOdPtKVBMkmROdqzAcbhbtrUeh0ikbYSeZbTa/WQXR3HsZ4dgyp+nRxvQnBPbCfKZoosN7z13Z
kEuvGuEjwbeDN4C5zMsXEFpgUxmTDLTKKsJx5vRpbInMAFwsd2/v/bWlzvZC4tbUbYelnPTbUx0k
LYZ2UfUuhhTFlY/0wmeCXB8pL2iDmPeeRyHBha0dlD8KRRp+IGuHke/q9Vc+kwuHCTUSlCMhPwC1
rnNFDQ7IrxlgEAqVVw/vtVtTniVcB7uBOPCWTEp/v72D563jLdwA//Cn4eYDCnFWAGLyupaUQrOq
hNPupyBFPyop5b03VMvXBe2/B4gtmKxbK3nlSS+8OmRpaPP9QeiAVnR2SnrahszFeNLNwSCF1kHG
MEx/IFy1V7pQF59x01vCgptB4Lbpf8VXsSxonYa8LCaI7vwCAQNqa8LzOwUVaVV/XWIePiSjV55G
Zcb92/t78TFhKLxR44AyOSe7bOY2UQKNECT5dfhZLcAZLWlcyoz10zUi0aW1EPc28AW0j4Hlffmc
fZ1EC50pIkPahhmcUNObumlu0hX0pn9/KjRetkoQM2Wkai9XgjHDjFpzKCGDVilvh3YPoIl2anub
i2aqlitX1KV6G6CHzScEij+bgtPL9fy4ghFxKsrCTT3alayNzTca1haOX6mfeWsDSk9JP69GSZix
tCTvOj1cObAXAgB+wwa5AEV9a8S//A2i5AREsA7PDM+cL1B+Vp8U6osrj3oh2UF3H+NhNO/+cPte
roKL0+tpn6BxN7V+vUtb0YNZB4aNskFBIC4U771AB//qi4owgKYJzihaGsg4z1UX/bBvmor4ZbEG
Y/wt9h39WDv+8Z9PzYtFzt4iq0W3DgEWmSNdgnKCjy3sBd+3yrnfby91KZnFWhvHFsrtED48Cy+N
bssmiWwJEfKlvWn4zMbMJkZ+CsNm/R54tLpZvLk5KBfVn3lYzzkgdoO40enYt5nxAYafpqW/doi2
Rzy7vJEooHuCRjAw4edDDs+JyJI1KAsrgvqAFu68h0neZrxUqkyqa5Iql07TpjCGGnWb1J9XLekS
TDEsBrBcyEXZZCMoRzZDm2ydTpiYpe/mCd2qB0Ao9LU85UIwAoAPiTu+F3RuXk2TOzIzMDW8Ii0J
gEmQvv9QKalgmtUs5N8zjj9zckiIb7iT886f5yXSucjArV0Gfa4b5aMdXKmdC9rq9PbBuvQCt5H8
/y11FgUCkOvTXjsP0lptVMiZ2T3kSac986zJOxRpV9a7tI0xFM6AM4E4BvCHL+NBwFTpVLx4kMNR
mJSXAfkZVvOXNrD089tPdvGT2VrpENXFtf8KYz4lgpsgxBtbWL98XyPog2aRP363CtLEc0jDD1vZ
Dk1fKTIIZyQnaJ6QTPlAx2p0ktCHJKp4+zdd2u0N8IpeXASa6rl5eFQaTyae7xU6YaBwgXk4PSq4
s2Ud9B1OoO3af/Vm3wJhsmF6UG2i3j8HeixyUJ6/9B4a4o1BJp3oZ2KnYQc3rIeVxe3/EBLR7YAK
EZq46Cadvd7KlhgoBDX2PO3aY91a+Mmk4L9Um//123t56SQlYPngmwSK+NXQEyl507gaERGk8fKT
rPuvALCwfZDw/+XMAoMJcgSmcMi3zmJvwOq1rejsFescJl+XSTyNZHRFVYXXyMvbXzoPp0BXAEwP
VBCwp9sz/5XZLYlohoXhfDRzqIuhITorvfnazl06hWgFg5qEjUtf6cejxFzR5cE3SOgyHlLt3BfA
A8vMk6bZ8waE6bff1MWnQk8YFAyAhpPzitzzE7u4TarRNr1fzEmtnuxSA5D+9jKvDwQKGaAJAGkC
metVX8VfoVbYQdJoFwvaf5EjAMT50C39UyPWQV/Jni4shqwJRChcRvif8zMxm3CG7WbPd2vQrnlk
GDv4cZnkUxK6K+n+lny+PBSQKIP7AsAZm976OVhkgNwAGBgE35SLkmew1/ihG5yvM/hG2pMAjvcY
qNjG2RoTNmdltLgrX/XrF4hfsJFnwGH5w2p7eSxheRIKp5hXBLOTt7Npg5u6g2j+2+/v9bHcVtko
thu3/RWvPZrMoutRcmBvOASovKr9BllRWe+EGryPXtBVYfH2ihdfIvJSyB9vmJDzRlW5DLBlagxH
G2pkp3qtSmhBKLITmHH885WOh/trqe3h//qy7cJdz8jId2PfyMLEnbkbSpRNIafl+7ef6uLbopCs
x6EJkUecNRFgMRCmtbB8p+cUxtOB1h98ztr/4YEwWdpi/dYUOec1WUVYRwWkXvtqZAcRDz94y6d9
lcAQ+u3nufSW0EDGmHXLfV+BLsYyWqNoLjn4mhU/0aD033dD1faZX6GF++9rAem/UXJxa+IOe/ma
grSq/dl4XqGobwsBUN1RL3reUSD7/nlcBmWVrejEO4IcwLkcJGmjQSyeEVsrpD2uPOLHMVCwm4rn
a6CZSycCFzJAvX8aFOcGMD51POhtKHagpJqd0XOwqdmp/b/v3SZvsPX5AZg+p6ES3iWkrJTYubFJ
QPunJqPwNDhFil+LvhdCxQYjRYsZPeaNKfryNU0zEw4T/mqHcT+/M3DV2UeeS3aqbeUBqCT67u1H
u7CBIIKgk4UhILgY50BdANCbgKpYAORC3CNsdPgDvJyjKwHwdXWzcZNgaQEq3QbkOms0Es/jKhpZ
teuDMsrtGE05BWgYhPvaexfWvNpVSJ+v3C4XtvLFomfRgjet4pNIqh0d+x7ggm5618zNeJu0q3tO
h9lc4UNe2EroK4N3gesM4+hz7w7rQh2GHFG91TrK8SbZCeKO1yyPLnRYNtW9zboDqnQ49mcnpO43
2QlocO9Wf/V2JUt1PidjuesRTXJae+Fp6jp+MGCH3uCFwzU7bNzu7VNzIXCB/I3aI4Hu6uZv+vKU
sv9vj8eb3RIPopBrPx1S45WYOHbs678vheoasRj3M+AMZ29RaozfwA+od6Xfjqdh9qpsDYY112Oa
XjmlKX71WTqyWXah1wmWKSaH2z//6yYDqS9seyFhnDGlyw2OyfgEI5LmYHCbPip/az1MvayQ57VQ
T3j7MS8cVqwNcBD+A+Oj87cK8dwk4HHb7Dzu0V20zn0GWfkgjxQu8XBw10RBL73Bv9fbvti/nlXx
sl1igvVAGNZ5Wrs+TzkZb0MbySuF8YWPH92dDYYCaCPSufDlUqlrjS8jVu/CVfjf5xZD/pnI+klV
JOkyiU7gf6ju2sPbG3rxAVEgYiyIoPOKRGvxzcc1pDd2KgZ2Ev+ePAIwEtwwZcWVB7y0FMLnplmE
iTPKqJcP6OutGFEM785Vrih5XX0OPeAZRsgvX1nq0l4i9wHrGs1x4LS2GPTXa+vHVo4a08YdjB46
MGVVv+c+LFHEMpHH1TX9gYKscCXtunQ2/150e/6/Fk1MHHlwBMF3kfjDDTU8yIdK9je9tdVNOplr
Ijjb3YM/ef4pYsoK+vom+Iku68sl9eQ0b8oZQsZwGpiiDJEogNPLAG+ZTIughXRL6ZciL6N50Tl6
DEwVlqueFN5chwWHM8acRWadaaZqT30I0J0ooegYqT5zzpFTCyydyjuwVIYsAa739+hRsD67hfDn
JQHiOE/YzNpM90zB+JdBsTwbSGJgSgZ/K5cv1aI6CLiICutUYnZHQBu7AafNRP9NslHtaZ7K1BWh
sZHJ7YB/Ews1UJwTLXBLmRuH5ujHTavzduDh1woinmNhjFgewDDl9cFy6/0XLzE7dpQ3OgvmqkoP
HE+9C20F/LzpZxvmyE2F3hFmBLwg4L9VDF6tQZXQY4ABIrbw5Ouetxl4z5BIcgwM6kxDQ+ReV4L8
rqHBNuamhpAzoPjToE4dbL5FlirPqzNZ+evtVAkvAue+rv2Th8kapj8T4n+29ChkDuWSyg8TD6CJ
VHGeHBpi4P6l04H9JKGnf2Dk2mylgZE3tjYJuR1UWonMhXRyeUm86dQMkQoe0oX6dw31XXQr5pV/
RmwIn6a1ct+7tpLfIGA5fsdgbZgyT6c+Q+8lau5Yjw7XrtQxBrhl7NHvQYIQk49J6vjeHxFtdOAv
j0BZjcNBLVX15GvwkfKmnNSRQJUCUpWmojKfwqlVxaSgW5n5IEiKbG1H74fyutrCNngoQ0z83XpS
QyTHjIHoOOQeFAjemQiTxuO6ltLlRtoo2c1R0qEfAHstiBuTGSAADSWBNAOv3nwOhC4fgqUxVTEO
xHythTdvSJgm4Xk6T/JeIWr9CmsWLlk1ADN4nAD2ePatE02u+jmK7kPLaxhxcAkZrzhtOlsEVd9+
gZ9W2ecLW6ebUXMzFGAo9qcp6ijJPL8EbWdYbfdJThwyG1qVs8lLo/AmuFTwLcEYhfxCnisxQQSz
aMyo5fMXCl/28qbFYj+Aqo3aHGrRGDvi5izjDHO45dlB7OG26RT9CbENAGEaVq7Drm2hObRroKHQ
7KLE9u80i7wk0z4b/YxTI/YaRW+S1WVsf4eogX4Kn7kbF5eNPPjeGn40SQsDBq/vqMaelH4+9DBW
geMJDHOxrbxa8mSQjEMJ16v0notpHgvXtkG1X/yp6yFAGDZtDsGTfnlaq3qlO+k4bSH+0dO7UTqb
ZshK/e/c+R267QDbnFwUNn0WDk3zY1Jw7MqWtvVg3zzxZ/C+lw+xCZFhkXpeglyi0L/TGgOBHHye
ivzwk4ol75YGWkADKvKpIIkyIPaRYVb5Wq5R3cGeuR/Efqmhk4i3gQs47/iEgZi1FM6RGJuxb2Tw
AvJUhnMEUXBtgBnITOKcPE1hMEDNx9NKmAzY1fh7a2HisB8SKvvfGCAC6DOC9urvhj5kjzaord/l
RIqS5PgRZX/DIQPZZFVihHvgTbBOGWZk7i4ZG49AcLEH4MB541h/jT2CccscdJ3Dp+QlJ7Dsxymz
ga91nsiy1B+nmUTLoR+5bTLnrfEvuH/xe+jzUBFB6jFY3vEGEgm5ctrjWTq4masskW3znQFiPmZQ
l7T1o4EsdjpmvUpE8L5JkRjkK62rT4MNPJYlpJoa+P0EE+Yg0BmAusHgOcAl9Gz6QnAZRVm6iKU6
sGiyX+KYlzRLGp6Gx3n1WJ81yiVi3y7VHOzXFVzb/QL12/BuAau//TWtAS8/RKPo9Pu+7MmHFWA1
yDwzYvqHuA7D6t6kUM76Kb0y6G5Bd2TiIfFnGX6FvE2Y3qfT0AQF8m3v/TCIQSIgcEIB89DQ2ovo
HEY5WZq6OmifNr+YTOxd7BpnjipAuNknAxTljizpVXtQlRUKwhWqX/OO1hQvsfI0dK6pM4dIlK7e
x80APmpbJvaXCCo/une0bX/PsHJeAbilRiGodTa8r9tVfhq82ZQ3lIP5VAy0St8n1g/aHTpr7bhf
iO1/U5t0FONYsXzyjJ1kbrnzqjthqpnuGX5PVKyWwY2GLMHAb3xaTmk2S+VVR+kRiO/aFPx9CDBo
fRuRKubfFzP1dTF28boWRMphyHyjm/C9VlUn3uEAqianJpKeylsfx+0haSYKCdoqAfBULjJkBzo0
VGX1SCIDFhNPkveYcni+yqm2bbnvTeXNxQRdOEiS6GZc9F7iYdT9oDnwMX5lG9PmYLW6KKtGS29R
PE3tkU1rwvaV38IWV3qzRU5dwm+H7FKuKvOzilb+zURxrXPeqTTZ9TaOPsnEd+NdzcMUtpkMdg4f
APiiddERCuF4iBraCGjGNBR2nSFewPSK7CQVuE3vp2RoPQAP4cDJOKR5xMx+B5EU/qOUgT99CUqP
i10tVzC0ZjQf42hPu3ZN96OmTm5QFTruINQGyqw2EIpK9q4NFvXV55D78jKBwWSz97Q3QeCjIzCf
PZi6boaMAH1X/4KrAZTQcD+jxlWw11EHtKad+Ug9f1xyPSiBqAgBsaBwSdcDMyfWBndetFiGTz7o
o32d2kRhcD+OQ9ZjOuuyZE0G/z9WpXWfbeoVEbRG54GhagDpLEf06lwGOcZ5yGeoI6MchftEkvth
gwhgfDh0wJ+MmeUOoFgQ9pepFI92ou2yE7ZcxH04D/3t6ElZF9Wo5F3AGq89tlD69PPASf481XiH
EH1JGwmkHcajeV2psNoZaSzLAAeJl0LYls03hiDIZWvI3ZrPctZfFxCcH6duYcBPjclc5rarrJ+V
QDWfZs4dgSRfZRDcptB8sZNgFuLilEdZPZvlsZtM7B3A3Al5viCkfmZuhFsDVPblIzRQEXJbTEtF
ESAUNFlsSVi9gzaN7yPuw/I5a7ipGKzWAxsrxDATknwk4drujfb7pjCe68L9UkoLd2Qoisgiipbl
Uc/dGOUBkusq6wWdCaRPjZxyVKA0xGFcJ/7AAZwVP3Vbm1nm/VQ2QLAhR+/yWKZIiIMaSlsZPoi0
3st+jpc7WDFoctJEROFRdvBFP8Y6MMOBe6XBb8egqV0gpD22jH5Uw0JVgxTI6pIBsqYSnpE67ti9
Ir0090MtiMVvG0B2ycJkXUiaLSTx1Fekq2r4kqihLx/LlnHEQB95vOOZFzd2uJ1cuKKwDWdjjkFJ
2weOQQ4vEtUIcyJlqvlY4L+8Cr7ZvI1RB3d6KiYITHU76sGPKavrFNkZgkNLMj4GaKeDIqyrbGEt
dH3myab9MULP1iugxBu59zBUJJ8C/LX1sGJSw7PZC8dx1+I7GPahv6Tfe7oOZQZ/zj45Ks2hWGyi
GSbKESvL6dYRpj8mK4qeHUlcAkxtx6GDXMfajI+DkZ6fzTT5g90zUKZPECBEVstYIxJ50PC8n5E+
Q6AIV8tUBGNZ/YjnJF3wvdTxf6ErY5W7hPEnjZwkLDCTIUeP+tAmWSRDGw7ljTDQIA/KEKYnRN/h
/JXeIarBackY2hWPOmL9fOg0/lmXCtIUDRBUv6GUDkerAZ3T9xVx8zfj2vpByQhFY9WASXfXDJIg
/1Alj7OeOauOwtcc0NIePJWwFOVU0KCJxA4aJUTu2DAFn+JGJGNmyIL5Nihj3SOEu8Eq8SQZWQ44
Y/hOzcA7ZsBdM3NACaZ+rqtpb5lN0+E4t9J9hWYQu68XBnl9OwHRhuwhwP+DTmzRx6pJ9rqJvMeO
dBYhWETpycKd7GcDf7fuKXU2fMTBjEYUDtz7gOlHIpDiyeYGA5DyE2m9VmcNqon3ZVNyvyDV2H/E
YxFxm4iOY5kq9R9nb2FB3nmBuWd09kMkvHotb2k/ky/aRxaLRykXc6wX2keFjmJQd1G9rV+gn40v
PmJ2IQc9wlzqpFIlk2xu8X6KtC/Hx3pRY5I1tubgUPYTdtvHXXfru9D/0RHe4J6FOtMzHDrCn17P
IRG1GFbfz0bhZkvt5FeZnBB+dvgUyNcatundToEqB09cE8cyr1DxxNlS1UD8k9SsWcCr4JSOIe/z
0KUc8ieR1Dmb/SnMI2JssmuiKbjrK5xRiHDGZZvVWq5tPk5J2R2ZI6QD8xA6mrs4rL0b1BMe39N+
pD+E9TD1W6exrVBPr7LBDTPgDlmjjukHZGJwleadjoO9xg0Axh1aEr/M0s/wHZogi3Bo4qZ8Nqut
USvYOop3QO9RmvUhBpcR6lwO3K8It3LKo8uHSKcB8k1Qb2+HUONvYwbuSyghdh3Nm3WRh9WWbs66
qo3q93YK/B+waKI25yppun0bz/j+R5TSNb5fyJrgXqDBjyZhkhd9HCDJb0raBSjoY8xW+q5nc26o
DGVRw1+zyQJA6V0m5m4iueyBOsoSPTWwIXYOcDWvIwDlKk2/T8KO8w7XNte4mKUKsoD5ihx6ODc3
u25W9bSzcQI2dNUblnvdVC54wVBfOYqa9nUWjKNNc0q4GB/mUg4PLdQyTAbmPEvvSxS7x0m20ReM
aEub9U73GvrqLPpQC2CddrFXrYWQ290Q2RCuZr4/Iq0PayCR89km9j0lOhSZpYLUN51CuzEDFYx8
hEeTXo56qNkX0G4ieNTz4D9fy07erRW0SHCnrmrIXSejp7CDe+q7uqPD95p4stuvyGp/zSsu41zi
J/7uAa9FJIET/b1r0X/KkCWa6riEvcV+Rl7VZ4A4hQZc3r5imU434mJYEWQs3Ur/G7p54jdSdzB1
oi4lUw7UfYzWGYnbBCoPs8YxhQUorjCqJXuwnVsStHPQbnmEmFtjMwAP9VPI23LdO3/uf7XNDBPr
NJ4Zsqm5jNETCoh43ioSXG6I2G6Pcnf6iYsgqCB/1FUQnJEWG0LTudrHaoa/KPoBa9Hy3mO3xIjw
EVCo4EM3MF/k/rTYE/qbAlVTktRPHYmXKRtCiJpkFCqSJEtjqT8FJamew2gkv8xsGDrV5dAfZgNF
khwlG0pxguo3xifI1E2TrpPOTJdCX6vqB1kingfLL8T+tIf1oHX/Rb3vSey95WgBmyZ9bDelKQxW
RfujJ864AzxLtCqwp9BHp5yG78u1D2GmPa9Rm3k9VGAPkUQukGGPx++DX3c2qydq5wxDmv5jkvbm
LgZ8sM86nITHsa/llwrCLL8qEZdHZLKeg15dWyP30PTUuFV9dRNgo9mgGJoEXaTaMuPwRUMfNzFe
i4SxCW5MJavqELUhR29tXEvc/m0wQ1SDcYS52o2uOlF4mQ650ttUrTc+KgG/7cMH0yYL5P+FnUY8
OAmO2IyOQ8w/IsMOf2P6AG+bGDdsG6mm4IvrceqZGGekAWZ4RsMl8ZGL8Pl9jeS9g8kAtAqy2lH/
Z4xGN8/EUMsU+GWpn1vgw2k2jCNq1nmc04dxHHsoy7V18CHy/OA/JoUL8tmM4Q8jWf9U48CveazC
6QbO5UOSewYZyIla6BOiNxn3N3CsYWnu1YbsxYK6FhZwfuKyJkhnukuG0nlI0Fy7IDgN1Vfw+eUX
xYLmq659tB60v/B4b8rBPetJ9O9ZDTPoTDOqwyIeYvqtFDPMkhWaTSvazJH/XJEmunMYirvcFx5M
M9Zk4j9T1yMftKidEAfC2P9GIzGgpcUnjtTJKX1HIebioVBv1jt4Mq4in9iKKW3Ievox0DU5hc3U
fO1iSHTshI7pL6RbC75GT9EPGi7jQyH8pfmCUUb9HMh4scCG99P3AJyXEG2FFTkQhTutADzTYuYL
X9P+eQmA18qMYfNnwDlak4OpTXFK4SoQ7vjQB8ieyha126Dn6dCWcNaDhk9MjiqpuJ/Jpl/QE0mt
J4qmHLeIDWe9RyWDmaNXFqc/ZqH0rwk4cZ11aQoV+MiMFUDy0C14D0pLIvNFK/XD14i6Oxyr+NeC
sPwZoLH+cxXrEN2HKkYGUXo9AqiUahjzpGo8t1ujAF4SfVLjVzej9lM0IQAbhboQm7xiZlRtV2E6
nIbJIRQ4G1WPzONQtqKJcUUzQUcqn0iFS8ihIPoVGCRR4Hh08am1LVwAUeaQz6bGGO8hblAY5riw
TYLPw7TQUzVCzpByg17Vya+qOXzXkQRnaJ1gP5UL5+JHbVYoU0RWVOlxRLcX1V1PibiJ0GSUOyNq
eTNE8zTtW9/7f5yd2XLcSJZtf6Us31GNGfC2rnoAAjGRwSBFihpeYJREwTHP49ffhezq28kgTWzV
Y6ZEgQAcPpyz99qd8LRctSa/t4dK810o2WlQTaY9eHprO0+0Yhpeyxz2OiWbAiiORol5JxJtNPwo
XCZs9alMrzLiUpSTkXDK3wyGUCrP7QzqNiKyTHofqaGxKx/ckpp4m9T346Cm8aYvzanzulz08kzt
Pvra6bA70dOm3W2XWxqN9aWwz3lRZdEhY5X/UJZyQLso2fwHGN3K3mvRtLd42ya2q4VWmo0PTFjb
dW2fZEE9D/l90zkcVfvJYTMfsuto6NvZ4lTCw4Qu1nXjDfJ+6kQC99Hi6b3NumZlllOzeTaIOc7b
sa48jWrjvV6MityLNkm+sB/iHKiElQNeVFCUwe+Rt0xINIXvosIov8SuGX7s52m01yoymNiOvoTr
jwknGn9pW+voFGk1+HlU9+yp4WeW3sQGLd9NueVOh5JK3RdSE8y7SHHS2K9Z7YWHi8/KNuqoaT3p
kmF/iozJgYVB8UXzcCBTYStcS/kycbw4y8XqHuphTm/LtGJzVbil+8BnxUuq3DC9KseQ0z16aVf/
oApFiQ8k4xmodbqqWM8V9sDfUYarNqLfMmsZxs22MzkTmhwikoFd3GxxqtyE7kD/nszAKvFFllg7
Mxp0Ih+K1CxZIu3yjtmjuC2LbEpYFZBTb5rQ0gLDqguDOtagndi+DXxKyKst97qpqJFeN5zZIAQB
+Nhb4zTcWaM2f+2LvouPomuZBqO+1fdtbkvHH1cQul+Glvus1JZ2jphq+ISrqEuDzJnER2z3GnXY
uHC+zGGN5GAUncsAC3vnPm2bIoFJbaPXL/KmcrxY4F733LRy5C4e9V7bqi71AFa3OkJ+UWR5SD3P
ilLPaJy+Xbex7i4rKd9tpqTWHnrTzD5aUW/eEE43k7PRqFR+y2iaSS+nMOgRo5BUsMEUAWdDSPm5
6fqw3aOOiWDki+z7HCOR9OrF4UCEslDNt24TZmpgF8I6F13PxyGnhCaOHZkThU32mupmsGV159AW
+2nq9ZDAI2QjxMxOndVzo7wXfrZE1rfM7JJvxNrUEcDipN9HJDql12XRc9LUWQI4utjOdKT0Bnez
iZw2viuMVe5uFU35+5KT1XWOf8GhGIVR5GVvr9O1Mpc1oVMYfYprTo/lQ23k8Tvqjzc7pagwEGU6
mEEuVe2mJBckDWUWQPs85fmIMKiXOzRc9i4EdOyXwn1PjPTWJdG44MlddSdIQl/e2KDPql2LMQ5m
kEVrzUvom7qzwg0wZ/YsJTqGXdy4v2/YJO1Vo0HDQ8WidSkdoG0ZKTSMqIcVbR8MDcnwinC66663
fvx+Tx2Si4nEZQ1+dS5kPEpCayEJ1TiAvW3tE9Jw/XgyepozSrv7Ny4FwAUNFNLMVyAXvQ85obI9
DDLW8LNFZ+pgqda8nwfjPf/wa90OIlTYNAi7VhCCffHaej5P1k8nCaBaFLfwc8prs6O5++sbet1E
56kZWAMgcpirafvl4ABSP4T9SmGkOrWBKN5vbZevMyrVb3QmjXeutqr5XvbPcZ0Sx4yOkY0IYcAv
r9ZqSyHiCpyTU0j6C0vmbiEEnK2eE60jh3Hfii6j99eFO8Oc3nOBvf4Q+MBx8hA1tpJaLy09sh/z
XpvAS6YhjcJMDPORQPvy3hRUOkO75nRWiubu1w/4tWSAYDsd3TyQI+JzLt22bpo4ZuGKNkBHOfhp
2rZUblOF9R4/wm9fCqIcSkquByTsMqVnCoUcFDHkAWTVfuCoGpFJHLUFTSfddpJ3sFSvZUliNSCp
qMzpmSH6uHiXa2vfblJC+kKjPo6wKzacqSj4ODRcc7f4kIeGccDt/s5dvnVdPrw1WhySJgfwl9ct
GoCwHLmzwEhy5zSoWXIe7cXe0Cm6l7ne7YqEvGt9Zij//uN1sSzqgqQeHGEXF47VZlmTe7Mgaprx
oA3pctCdvodq4WbU1n99sTfv0kWd7ZCUiaZ4/ZL+Im6h1lvbfTtlQcsajOWp11oqP7m6Tfv5TAux
figEnVqaVe8BNN4YsBjDV4E2KnsWqov3ak6DjodHYfNtqYjK8sHY1WyvUWCo+TtD6M1LQXeDLsf8
xSdycZOJxSwat+sTdQ3sdAAoLaWJzmZdFe98hm89TwgF1LNY2zErX848dcJ2UCmzIHUBrsIibXeV
MpQghnXtcTAqfTfrVr+BKze8M15fz7CCTcVqvuLifCcXMqxQrZsacDjjtTcp6Qipbiu11YiwlNZD
ErXTx1+PnDeUmFzQJCbCXWGeEM5ePtU260AbEPZBXGcx3xhhO/lpy5EsasnuCrWUNh3FykOeteNG
KoPY9nnyHsL5DYQevwQKzFUWv+LdLlYvNtEdFAGZoyEPm6uFved9L7r0R7xUThdAb6dCJSNY3N6w
SM61uMrqaGOB+TvCbaHz++uH8sZIw78NiXL1kMCVvnwms9mihFjyQI1AyaFTGtny29ZVVCzynS3C
63WbRRuXv8m6St3r8n1L5FB1FokiENkgvF5W4xW6BvWdT+eNtWx1pcInYB0lenEddX+ZH8q8Wwx3
yrmhtmHXnzvZc7nUzYMV2jhRF3LtGqWe7n//KSJpsDREvmsWwfqU/3JROtAjWx43DxZZj37pTsbe
FGW4bWVZvKMofHMU/zkDCR4kA+jiBhUC0RYU9EVgyuix6pHyGsPQ+mh3imuCOMK9DjBxC/SyfSyN
pfGzTC/fI4q+9Sr/+jtcDOJIVyJj7AT3OwEPooCSFddSyfTfn5vWLHZozUgLgahczBCqQyTyTPcj
4Fo0Ilo1+UZnmNDZZTC/Ib+gAJCkg/zCcvgeQvmtyYkHvBL8CH4GRPvyjWKKXJgpkiIoMrO/jp0a
DeUsG3SE0Pw6BcnYr0fQm9cDw2Ojmwavoq/T9F9GUFzhzVeyBgqtms0BvfnRt5TU3g4W8pt+xfL+
+npveFI5zsGkWbNRHSbF9RX/5YI4NCN1trIiCPOskod05kp+qVvh9TzayU0zGd2HtkWQU5BtQ27z
iE7MSJXF9nRzcIOozK1j3qf6p1//Xm+OLOhmYD2BkduXGLy+sIw4hDMZELCcflV6LOUKqOd3NhFv
Pm1CtlFvs+ZRhX9587KfOmq+OhvChap/LJTynGojWjTquqeGOsI7s+wbkxJJL0y0QJ5oCV+K4qVd
19ZAETAgFFUc9L7vtgiZLPpkbNfUsLPuFqcph9+9S/ag2F8YwhYcZf0SVbrUqWZSpyqCtqjCZ8dK
0kdMUfNNpU3LYTYx5L5zm6/npj+viKeaNCT29JeuUZkDA4hnWQaO1SWAeC3zwcwEzTJ3cfwYjbdf
ZAzvee5o1GkOoskcBeyvR9CrDc36O0BMtTn4cqS5lFx3zWAmyawwsFXHBmW1uMfUXJ1uAx32Iov0
ratWrp/UWf+7SDmujEODRw7ngV/gYlQhnDG6MGlhk5O6ve+7OgqQnrZeNY9kQw3me4jwV6N4vR6G
LWLpmade7WdYQedoXvKS7Bs9eXKlXWUbh8LptwXeau3rS/NeqsarccwVV+vxGpGCgvsSsjDlAtkP
BRpsLAN5dI7dngeJHDUmhucKMaNzg2LSeWdKeLVFWS+KDN6By8QR+TKPO+6HwgUGVwZ95RaeEAve
SLRKbPGz97Yob93funxzlVWh+Bq6rugmuogiiB01qz1Lyet8DzZMcz1jUbsdpcL0a8HD3f16zP75
Ybw4/3OPIIWpfvGhgg26GDrlgHQUAXAVKFjGPnQUrumCCRLBs2Q0gKTBq32ku5cEdRW5nyglFOhL
hjC6lqivESEg5Q4kp9F7KbXQ9TIdidO/MZtglVr3iJR4Xpl/KfkZg7TDMnCrstgrtM8CSgbVzhV0
e+QyD+dfP5O3RjcdVMpkbOfWZfjlHB2JustN6vpBNdazb82Z3E6KNK9g1qWwr5L3fLF/Dt7Ld8Bq
uBreVKDLl5S+ys7RPuVdFYSjSaNZDZdbNhfRdBUSYHV2ZnvpgmaWxpdO0Z2bRC3yW1sfmtDLm8W8
q1rqVb//yCFtMn2zUlEyvFwMh66qh7YIq4AU3DwQbVnt6bTIADCXtnXQN74zf7/xpWngNwipIBAI
V9PFfov+hFFE6sgjT4x43zfdN2u2o8CFmLP99ct9tcyzncMXzwEIsBtVvIsrLWYozUhHH5GwWW49
W42NZ0h57wEOX68F6/iBwsUrXSsTF6ebaCS3heyvOkiLSt2i6QUubRjK0V0ykIsWisw6dIwDJ4b3
6FSvz3lrhZdzNTMJ9jCwny+HLwnoonRGow4MtEccbFNUmI4jNx08qyGoetM+dOXYB7pkn2N2ojrL
um8/c0J6L3T39VslHNGgFqVZGl/SJWM7HaneqygwAQS44V6ZxumnoNh+O3ZW3b8zYt+8FvtKjte0
+CE8vrxrVEYupQuu5dZq52WTAXRXSxZvmuc0+PUQeutSmCoFYeIapqNLvlrRW1W5uFYdqHNrbhhi
2UEP84+pVifvzM6vB+v6FWK9hCUMsPJyJkIcYeBsEbzKKV1ajz4wJhDZRlX0ztN7VQVmzMCU13h8
pIGxHrx8erjF6tHsE5Kkmvmx7ewHhcLlZhmSNrBs8qcXg4aTs6oNa6VO3/kk33qe3CJFiZXBw4L7
8uJtqRqzXLjLUcnEtkGTcUB+HO/TZqneudTrZfbPVECSy/n+2Utc3CcFQ61CD9sETmJ126xS7duZ
nVOgOmGFkpYzkoW4RjTvtJje/CYdlDL/c92LCp5u11JNiVhFM86cMNZDdMhzV9vqRdVuC9IoN4AO
m0OeCMEK0zX3i9m4TwWZ1e/N7G88bA561G7YE1IMuSx+L2YEcDgtGiJAetvHg6YenRxrbt2I97pc
b4xehizDF26zzau9eNg54QiS83kTzMioNjT5uquShvbX3/4aV/rCahzlQtRdXo4eGKQa62PdBGR2
FbtqmGVAcp3uTYU2vbNKvd4YYC7mRMPpjeYPU+zLS5WQ8yK31vlK6qwJ3IyMzqg1iueJj8pzJwg5
73yWb16QCGiVe6BBc0mNke6koQB1GnQl4BxH3NSbLLV+oB/Eb2il2Ttfx1tjg8kTqhj4GIxMF2sj
acySDJiyhZEQGX5cWKoH1lD1Zx7qO1/EW2PDIsaVJiGrAwzgl48Sg5QzZYK0jIanfaeNJIBthJ3Q
j/n16HjrOuyqOTdAbbFhib28DvlwlUzTCARv57qBCLsbrJ/v5aa99dz+TMnks3LoDV5cpOdAq0Th
2ASjFOBikQdsI6dfNlbBd/7r+3ljAiPKa82sYGvBjV1MJK1mdUMzVaTBmcYa+wtqL4xbVK1DPJ1g
z9t+Hw+/jYZk2NMSoL64VmCdy+QyorZkNSRjG2g5J3fRjM0eY+ptNbfaOwveG0+SeUB11yhl9k+X
uACNhmAxiqIN3ITYjzEl4i7BNuyPLjKbXz/JN0YGjxEykLOyCegFvhwZ7Wr5Zv/UBhlhLrfoThzP
7KzhnXH+xhfMsqaxMQHfKazLbE+7APo1LSbjPEvnIJGl3BeV3pC1gNCHUvK/sQ2il0s5GKosk+Fl
81gPW0PL5r4LSonjuyci1qsLtoFJLqf/Ljr8x/fpP6Pn8va/DyjtP/+L//5eVjN9H9ld/Oc/T/H3
pmzLn91/rT/2///ayx/657l6Lu675vm5Oz1Vl3/zxQ/y7//r+pun7unFfwRFF3fzXf/czB+eWwqP
f16E33T9m//XP/zb85//ysNcPf/jj+9lX3Trv0aDofjjX390+PGPP9Yq+n/89Z//15/dPOX82EP7
XT5/l/Hzq595fmq7f/yhuX/nJIOuGebv2t9ae2jj859/ov9dXc+wECOI8SE5iAm2KJtO/uMPS/s7
iFCaMpSwMLFTrfvjb23Zr39kun9nZ8aujGUA5S+doj/+53d78ZL+96X9rejz2zIuuvYff1BAvvzI
qPXScufoCE2IPf/lyJ+j1FWAvBU+rgf3viwSjESL2GMt/ZgUSnuoZ4FOO1lZ0zFW4aZ3noy8cm/j
XHWCTBGY99xvqpnexXUcRFPupxWekqEq0Tl25mkpreIGbAb4lAQR3YT8zS6cG6dnL2O15WGh+2XS
32PtnK6AFOwrqQHuEkFiJStD94SW9ISf2uNrOYHn+8rx+DtqtL3ZNT9bRZyc1jiqlfNBYo7sIVVl
j1I8l9PVIB67Rd1b4TEaj0USX2vux7Q2btDMsm81M18tSPKddwJWcG1Y30X1jd/OH6ITvsvCC0Ei
5nF+i+50gyWNKYgCbf2YDcVhTqfA7eHRRlctinFKmX6y3C/ZSadG3mFbomDzPUnVj4u9HEax3LiC
+G4qOIp44BAEA8g6J82XhcJrlamU5Wo8U4iv5DFCczRj9rLjnWOjQt/M/WOUVzue5dhLT8SnybjR
u2OtLn7nFkh/rWfAHw8IeHQ/FzjvzdtZCTea0j400RMLIBGhfpTdh6X0Mz0BizbhZtU3hR3ejnIJ
LEnQSqOepFntFzUyER+Z1slZ0p1iNd/DKTq2VFu8YbI2yBOvHXU8y7nhGCX3Qxx/S5vtlD6VVWp4
qZr7c4bxQok3ur6Lo+puLjRclIqPMwcZWeVHED0OVCeSu4jLSjYVKYlOw22jPyaUv3tr9qvxNuuO
uJS8AtXpjBcZ15yQB9mX10Oq6X6qILkMmw9RFvuOdkuFM5AOmM6muY3s4b5xEfnX1rxjI2Z5VcJ/
KXP+ZSqRqjv2fEfI5ZWBJIGoWhCT7rJVu0X4k2pu4cd9aC0e8pKmn7FPdb5ulT4k15+a+mxq0Mb1
cjjNySNm2F1E/7N1VjfMp4pWyqGrUj+x0o2Kf92rZ/1jG07egK94VBM/x4MwLweBXdDqiqvYrBN/
aMuzPZ8Mu/+ZONNNK7JN0Vgbtyt3IRY5K/2SV81m6MdN6+ZXMbpBs7ia5X1TE2SHPwIf99xnH5tI
7KMk9LI+31jqcNsm+GdL97rtep9Ak8BuY7+QP6S2bE0t+9Tp/X0YFwc9G+jquhvq30QbPZTL7OHF
vWsdIpCr7JCZyn40xtNcqt9FZn2Rs/Y9aT6LZd8q1SbEPoTLE0bRo9M4x6HYuDkWAMu5BwGTe6jq
vVxlGNoDsZjhXTjkPyWpFl7d0fM0UaMyyvvNols3/TJ0T9h4v4umPMo/X0a3LSQGgXhA4Eot17Nl
fXTn5ItUwk/C5SNRLONnK9RnujaDF7uDCDKNaSKMA7kkV7qCEbaJNkmU34pFBurk3k29UmPzWSp/
SdViq43TvZNEXwSC6Q39beeskDaEpdk9yNJcfErZ8wYXbYTJNjtPDucgbWg+znxHzcTcoGZ7dcT3
UHyhERVb1mf80/saczuTyH3cfdfCeUGovGzsgnJDJb9pbn0jaTHoOJ98fL+xl2ZO6ROVzBQUmss5
663pA/PouKETcY19HnGMZv8YVRe1ebZ4jn6lZ059X0rlGoKzeWBCN3f1/LEvUn8x9eEWpennUMvR
55bmfQq6yVniODC7FmFqBsBaDdv7GU1zbs/6Xd4W57pKd4uK18ye3CMZgYjKsGrtw4bWEHgOe7tI
Pk0HGgX5dfHXVG+vSlcEPfZMd8ABoKTXbmnOD1aufmqy+TZNkqvEsW40mECheYUXbNlUQ/zcSeXD
MpJdHgv7uQGQ7k8p0VLtnKCNnnUzGDM3QT2aTxuMWLdDjxwZcuSQ8eLd1J8tHdk2+xdvIE1+a9f2
xpn5mkwlvA7HpbmJ63rCNRbR2zCza4K1633YzaPLnFp0N4AL41OMI8BLRR+4sYG8Gi7MQXdLUHmV
8dGpIjIFQtU+uDR275UGgYnTTJL5Wz2Fcxh+7vqi3dr2FD8CVxu31oxqlgGSBFis42snj6eriI3e
JmrNck8sM40lt6qDLFJqL2eC3dSzHbIqJmA4tOXkNGJbLw0vjyRjBV1pZCA00/Tv8Lh7T0ua2cO9
nN5HblgHTd/Q35RVedCWCqV1+aPqIog0yt6oFcBkeOTj0rgOTZqyelP1BIda5W3jwFjBF2kXNw1O
vq0hu+GbVGh+LTg3tcPsGLhy2aEy3+rFjTO6y2ZchhpD6NIHM7Uea6oOU8IZtpj7xp+in/AtML3r
X81CVTeS6E4xGhC3qw7dNoHMJgff3KxDb57S9EBiqhnY/ZJv5Jx+6SbUNNZYdcBK5CeAIDhbjGuC
sXFFzc59nM7FyXSS9DvBp4BylDE5huniopewoEAkGEZmDcuCWQuXJ5NpdD5KorrymG2BrX8DLlPj
jdIYsDZgeKVsby1TGQKryFBdV0oXWFXegR9f/zVjNXBjSzwXhf7EvnjaWRUeglbKfV67D2A8zpbq
jj6xkfV1r7JRcB6RK4rdEs2Gj4F2ASwyfyMWrmeWmOIr1xpDX23deZ+z79q1vGpfqU/ztFMXNkvL
T2zc2kYojepndvNpKYofmDTvUqtWA+nmzAZ6dtLm5KMRt4c2mk8y1+4gIG8No9h3Vv+gN/lGM1lR
wuX7RHm2rNmlKdWu4bHHcbYD2rhDDerF0zY0r6fJ3mjlumeyjnFr7UTa+DJOPQwYmxIV+tjK45K7
GLCbfpfRnann+lRa6VFM+TkSvZ+N55rgvqJQaJ9Vu9CwA2VAABSycWtNLVBSPg1Tq2549uwg7hUz
EccqQyePR3C4WoYliogBY/xLddDOmaL0PhwAyq65o7Z+mjdC9RfVDA8or91dGsFGb4ph2nSyVAyv
G80CMXK9qPlmGQUK7IXCn2e0g7UH6kAEeVzGiW81mjgC1HGu2CTb31KFDaRUw/IKu3fqUy5Td2W1
yDsah6yMUi/JqByI31SWUN3ZETVFPcedMAwdPvFW1/x2FeMUogZZJE3lA+FmQJRGhMq9TLXrAXPb
1xmPI44SWqpSWdgltfES3hMACMDAmHOqPSqgbFzR03AGOp3C+7HUfZJN9afGBFZsjgZ2QnWIB5+G
cLGv1Gp+SJZZOzVwlY4tJ82fuSZLWKtjdwft+MkaCyyfGanDN8Qo1t4Ulexn8lpVbji7pdveLeIH
tR/Vg8Gte4NUnTvOD8QVDpF1yDQH37So6wBLBjaXUO+Y+aSBoWqy/FEb82MT66weTm3MW+YPw9gb
lbGfMjs6DiL+rLftZG61TrU+aZmOB4XIt02LG/dW2ORds/63Rs8c7eCowx7y0R56oIVKsfBS4URF
Tcg2ZYYDo+WtclWkI66jRBifUISGn3OjzY6GMY6Fn+cLW8Vqdp6WgY2xUmvROjm1/W508v40AS/+
3JATfJg0bDssoTlayyKrhh9LVpl7Anahlcvuq2V3KhOioWwcpTdPeul+iIW1s6aSnn8ENMl2t3Wj
b3pVOQJ3BHcQT/mOJ6l4RqScwqK8cZvp0UynDVHBN/qE1MSXwzRdsX1vN/VQLD69/MXr0/CrYY7b
TLNVz0DpFKvatZCsgPCsDuRjPbhj/tHIlm3SVSxKE9NT+cC6esSnHKiAITZYBjMszckXpdc00u21
7RQ7mJ3UcgnGpL3Ve1xFdQ9IzLJiTM7qCi8IT6inTpUmD6J9YgyWfpbSHxN29Fimk0egzLmtFZ0N
oErwcCnlMXFTsabwEnUAARrrkPlpGVWdDA+dh+80fqq738SEe6u38JvbUK6OyWxWD7pew6GgSvGw
ZHHvW5Q+MTNz8jMTTd+WidZsqqT5uGSL+JCmKeCnaIHXkdnH3CGYJHaoQYVZea6bfvYgs6T4SdLQ
W2vqwVQpx8gxt3olPsza1zK2fKPqfGtodiHYIVaUwAFshnebJ5NMKtX3yuuVaTfNqT+mPL1B77dW
CTUFjxveOQUraxvdCG340bd4clx22Nic1WabxQx1El8VdHBd3HCH3DBngDG9Upd+2ExDCfvFSftN
zz6UdULJr4ouOkI8vYmUtj8Wan9bYeQEfWTh2BHAZeJW7iql2YDECDdtYku0BwUs3GzIcw4qjVNs
WR2cUzpY7K/01Y0UG1iyG6aEVtp25mlpa29NbHQ3WVfYED+z+iyNeAg0DUBkHkbuFUc5PgLADfkW
n2eyLdXM3JPDJI9KTEjYpCgiQHYtb/GgJ34nDeeTgSN5Z2Po3mECxaE8LZP4hAttubUHe/iY2HN2
71i9DjduABvVhB15PJmwPulWl53kUCenrFDEfZEpElxYZoKQIa6d48xYHzQ1zj+NVIQeYIflT1jI
um8D+4tjt/QKhB+ptdu+1rqPYnD6cw+a9ahIFzZjlMIYwfU77MyiGWbPErm4EaPdfe4sPbxPmyT6
oBE47npDG7LP1cM4f+iN2fi64EFMNzBmtcKb9Jr0Ybzd+z5JQ1/XC+fBamrUM0U63aQk1V0tGjCD
zmFg2k6u3Yd6rVB2bZQT6IT5AL+lvgnT2NJ9066Y6pPM6FS0e7V9zaS/XC2myamNfmHxqUtZJzVr
nv1Bbcx7ISz5mZCLptkYcm4/9cLq9K0J9P6RAsJ0ALcHDihPywDQ6GHpcMVNUdx0nuga/cOkEVvD
OZYEA72YUx7NwMLstsKHDiQfM9z1QW0X0a3QB/mzNwcBZSAyoaqE5YK/MHRkuFusevB1NNDbBZM+
cAGlmq8ABK2ondQ9YnkNvalEHliTGZiMyB8ZtbGYDtpEnHC7eIaqtcDzKUqYNPJypbllnW097Njg
MCzYhr15r+aSIww9hQzJ216blBx+KCZgo1i0HyIfbM9owg0EjRg8LQws6ujdDayGQxzmQ1BwQAdd
oHlRqLhBKtLPZahnOyAb21GYQWIwZ+NKvIN9svL3RrZd6ZcCURZHc/1zk+c3FeY+PnM1enDNJvPA
xlNyKJqefYM+Qqxfhqts5Fgpfy7UShCveEOvfupleCAzIhhNDI56O4D40pejq4bhpsMOOBEl6wHf
4+ey8brUs+1A78QTHMCMKt9wGl3Pj3cuiaX8z3HYY/Aj/HG4s5ePibVg86faQD3JhY2CBexBjTuK
A0ZZbtihHlSn3FtNo0Fb1Yg777TqpFfPnX5eQLyOFmZX/PM3VD0cX8Mt6MtJLQnWoJIB5caz3Y0Q
V3G9NfQ64xuKO0zc0XOiEX2ZO8/VFGcfi1w5tRNtBAe6DO7y0NxrOqk6s855Kk2qMyepA4/yh0Jv
AKhDqAT4kbYE4TyRQnjLJMcc3y05d/tjHopArT6HyjL7RFRs6KyMeGk4CXT1eihLIIW49JJ29qLy
62tgNGxFeeyiNmjzmjMpsad9s/RXampr21rKXRvaImjciGZwCqEmzSkSrqFXahNtTffayLYR1tfa
xl+ZVt8VKUiH6FkzI8JhfNBo7iYvSnPHqoMpGvcnqMe830pJEaWeKyPIy7ze13xCfq6X7V20aAQk
tS5TS+5VWvuQltN12MMwTtPysUGLKyr3CXr54HdFEe809JNDuhdYNvtOAVuQLicNiCDiJl8m4hSF
KjzpvEv3dVJHfgULMmiNinKLmL/R5LruRWjfMGePAaySK5ByMFOaUgSF0EFxmNgjLXmtUgcKcFUm
TxEUODZEdflpKaefGpKG7bIePNUGrjNouZu0M48C4zHFjCca+eo1RIfrvgXrmdJ7O/cFPuNpNKYz
DlNnN5bVRpfzVVmFQR/3OquS9VO1ixWXIE7kqeA1ce5FU5WPxrg4AeLGwicCbeQxoCiZhqTxVFm5
sH8m61qh4nRPh2CAeULsY9d2N0267Ow4usMMymc+6I8zZ+2gXsSNoQNbwNu6qJRkWpCc4BPzIWW0
kLZdGtlOFCDSbD1kw17IQ7uUW3dtdjVyutWy3HrIKS/GrqFsoxzqASRBZ4fb1SEIak52hCRglolL
906R6fd6jG71xTzymzyyJp4UQAu54z6JrKCuNetMhQlrYxjFBys2fXxOsT9VhYoJpbytQ0F50YLl
6KbxTg+z3reLrg5m070S7HjqYpq/sljB7AEgPlAKuu5TEKVksiebUZ2b2yHWqjNbg5PWtVe0eA0g
caaxccfkLhWKc2zD6FkbZBoQbfndtmKIKHR876ds4bNPyzvFaJgkm6nfRllT3tkpaAmZgTLxSm1w
QRIt+rGyKusaJlN0LhU93reaiLcx2CRPnaFN1qbhs3DdZnZY+XFlPxp9uhtnt9voTlXdsvDsiloV
ew2BybmzYgk6g7qnlZw1O79HdMJ8ZfwghPzPVYk3Es5gPYSe+hlbm02R1B8tZ0r3ETonb+62KAG8
HM5t19ePhv01RrN7jibVOMv+EIXlxoGdivU1U58U6nD3bmmBooRRfNSapfE4eZn3sz6nQLuX4aEI
29Jb3Kk/J4WhBFqZHppwUU+W7OcgTtwvvYuJnb3XY01JjDL7ip4BDukZ8GBw91V+Vc+SO52qazIG
wNCG/CGWgvRKrsFz6nnQremIKaj2Vn4+8q9Ah5tQNGht7NIMUskHkdiGYIs7Z2xUKMr29QGW6EHV
/h9z55VdN5Zm6REhF7x5vcC1NJeelF6wSIkEcOAOzIEbT82kJ9YfFFVdISpSWvnWT7kiM4PXAQe/
2fvb2tWY4F2x6o30p9DMHil6zXBozUPTol90nH4rFhpixq7POm6jq7RLnY1dek7YkcS2ybth33Lm
5sKQm9j20bHS7Vvloe0ZikiXfcVLDmdp4zS1c1HVnYriTNmHyg5SJgaUXXXfdVc8Lp2NP8w8B4X8
SLUmmmo0HwClUhYli9i5puro9FLNOek5m4nYISAcfsM3MyE8takuJ7hOx1zlL+2c6BeDctsTiCME
I4k8CB3ujYoXgJclolt2FpCxVGe8+3qBStRUl8X6tWsg1eijm9OQFf3WmOftYFp8l+1bYMQQD1C2
x8CQx8vR5yLPYu/EmqbdldBfIgtI1Kk0um+q8LoHEbvvCMajIbFPignymFbablApT6QkGEMl2GFt
ql43gJaW3VvjO685zJcwDwbrQfrjA5fBjSrdLJJW8k71Y17KoD9ZI1afydEukkGUoN8YAQeYobeV
JRNKjnirF7keGdC/UqWNx0RaFbJiGsi6tK5yMd2YnnF2k+RZU8AKS7vcOwso5EaYpzLJqk3bUAsU
ZXppivGElRv4mAmIyKe03TDpBAAnoG4WzkqgPeXdGGwscZUqtDAH0l6r/KqX7Zk2NWILv4tnz+XZ
7xY7ryERDFNLBe1007S1GZV0v8wMd75sr2w9PQ+2cas05plpm2/7Fg4jks8zi+Zps4zThBTwXfM3
TsmFX+u1FtZgzoF4dAdL728wB9w7fZkcHTWejbY5tWM9h7Y5X6uctVGjf4/djJM+yxxQoAB2Bf+H
sweSc5O7IC3BpXCfWXNUeF/1Vv+g1D4Qp1hFGPl22uzfB424rObs3Mfqe2Vn1iX0sGADFljisXfG
86wlF+1MBye95blPEICgueXBfV1qxW2Q9BtGhSEMgpNmzYeqt0W0BN3enYLTGBCXy9efhcZYbbpm
vh1AqEmeeaP+CJiF8i4NRTnugbf6kUPETdl29/ysoApYJMFZlhsggoBx1xs44GQ2uONgQp/terlQ
sxkRbneZJAzEqoWnhhen3800uYLXFWxM4GxyLupj4gTPHo/NDeky5H+StJ3cuOt83tCelZO5SPbE
GfzoEvm4qzdK1Ms5I6d5M1p1HOXKc47MVF6Cpr6tUe2DqQyOFQFDKsEaDbgknbR96QRfLP6k4poe
rZydp/o+pDyfgSy0zq5wr4Og3CVuukPze0UIYIj6a1fQNUqcqYXxBY00lBb3bUzjrwnPNlcCjqm2
WLQf5vbKrbQre1KnNfUC5MpBDd45y+KLOvYbHsVCUAJmYYnoYNsya7t3AS3u7dr0o7RpGL+5tMqF
vtwHLHYfmm5y7sGQiFCzEuPBqkeRskJMYpBUjl5f0Cyf8EKDpAziMkxgJJ9mG74WYQ63gv6DCbXd
RWbTaxtj0Y4QrxKotP57UHE0GixvN5W5FGu6OA/uYR43omlDNy+N0LTnzSCFH1ZrEyQVtvymFFEw
qHOekXtl6DNEzqKAolNrt7lqT1qR3LaQcCrfPmPpyk8thnQtR80Js/zCNP30FNjauJv85DmX6Xlu
86ORwMKUxeRtGd95G3AUKgRbBzhFny7Is/MeRd186Doj1dmj7xQLL6CNwb3HCRjBXWPIhc9qr0GN
utBMWH52EdXDclea5gYJb3k7dLa4TQHrDJtA4zMB1+2vzUC7lGm3w0NyXhoTr4egxlnIf/jWxw0Y
8buqjg+qHEKnhMtFIX3tF/WO2I+9PVd3PsBUE7pOkH9HDrujrD9AEOZk4eg6ZkLsKjXs9cAnSSjd
NEnDlhvWrrCoMuC0SJ18nEthDKFXX/QVhCX7wc27M/zByyRtrjMT0hCefc8aQdMsmv0lsFDUICSz
wx7f1JPWuwncYaCYm3GMV3Sf4tNBYdtl7kOaYGFun+xi3sVOfo1Yepe0RzFExXTpQDyxk28Bbbia
HaBDPEjmjlWNuXGKD1OuT9uJTxVsnTx7cftpZ/XfUnunW/IFWM1rPGs3+rhqC6yIwJVwSZkA5eW2
7S+L3Ax1UsTTIpS0m4JjuOl3AnlOD8QcKMemcL+QbMNxMWQRBX1IDXjywN1IDBNR42Txg2xg/oBg
XujiDC90VaEfF59WexNLV78ThZfct0nX3FRIs0O5NMOxa7Vgj5TDDE2rzd70ILb3leKKxv9lIX3o
RmPLpr7OUdHAreHg1X0CzkFloyXgo0KVvpJSdafYqsDrDo7c1mVlP5HTRfM2dRz1YCm7KGhxsk2p
PNuiMr44HnewI+eewW2RfHS2lxz1nCNa2Hr9rIx+mKlX02nbCl/eTUXshgue+iLBDZKDpOZes8kd
IUUOr4bZ3eSUAw8TRT1gYtCwRsciz3lpgvhA/sg9gZ2PXg9bjVHqF/K+4H6T6+QVHKK1qW47khN5
WD2xMK/39QyUJx4rrAW0CbDvQii+AIu5nE/ozcEexcU3U7g3LOuezAH8V5p+jE5Oi7EyvNqCsSCd
vMJJ4vunIGauKyfnHHjMcvXYOpOszqQpAHcs2XzJ+IVTPovyWjETBvZD/zKAqieuGn4jFNu9PaYH
yRbDNutxo1n97TwCOvPr8qYd+8MSWNdJYZ8bx/uqmc6dNWonYfWXS9HuhTO2zAjGnJ9y0Q5JLm6K
2vWoC5P7SRen0upfbJ6um7kFNNvbqXOQhbZjPjpC9k7vm8m6KfU08jWm0rWFhn5i36hY0xj5VRzX
OlNC9ebkH62hNNiKM1eU0aEkYcRr5TgL6EQ/+pR5Fhw1tC6gvj1DRnAgoItNFKfF4JBYnV7blrr1
eyA88QJiY8q/qiAXG5nIdxWnb5ZeU16TbNtOZrW3Ku0Ah7Vf4T0HwKQgOZqdtySnwGXtEzs1G+3k
QsTBE4XhtWVoggohu5mIQSiIiyCvajPHzoT5rbwUFo/T2vK5+1rgit56Jhtl5MZpFI/zDOePCUnd
8EHzOH+Ri7f30+Fk2NO6UIw3sgoiHRjhXjq0LHH/dZblWcQdz34/vddTIAhN47OXjO8UMHy9ML9W
9ny0e3XuK7FLmFXEqfzA9aTvEjOAOol2gjyuXvO2rW7CZFXN3q986+DN1bzry8naLsIMwhTqDBkJ
9vVEpdiX1s1QdkdXlG1IM/lqpCxndFf7agBfZcxofAhjDsJK/Nh6M0T21U06Gec4mK5NPTlrYxy5
Xf9CAgUQ53anefOdF7wRAZsV+jXrQhl6YKIQU+N1CoKoGJ0QeNk214dDIbJ3h3WoUW8ag3tSH5LQ
HCg1jKuCBbXdMWIpzaNguDYZxd2s7n3vOGfmwa/K26m8N3ONGA93lQI4CWsypw1pUmnb4vyYBNNF
M3v4jUbT2UzpSjKssgtvAc3QGPFZIGljz8fUallq1kh0tkyUKW5hqU872Xh74QVt2OR07tAJQ13A
A0xK97u2lJdIP+4dlW21xQBWB153A3Httl/DYTUx79KJufnAMy00kv6lkPOp8OzvSduf3MC4Y7UW
ecK/YsZxol2d2Yex16S/3NQuNstkKL291cwAjmHWSmcP8txnF9RCwO+Vua8MsJOZNkguOTaQlGHF
pqmHS+Xr322h4E9aj40s32KvvJiD4V0VzXeNwChdQW53kRGEpmq/9b641RybWZRq7wBq8lRwj5kc
UVollwGEdqMsgJwKNnofgOwGkMzvXe4/tlN+3RGezMSrNK/borns+/6cjoseklyAgiEow6DmHFVL
fVFDUN9AqWX+JIoXitwj4IjXQqUvYxdb7CG8i2k0nuah+YCdY2xMBniMv7UHnVvbYAC1X+b3xenU
Jq85JRPTD5XvvjI+Bq2T2Wqbpc0Nz+KT6c83wKpDCoz9qsrwVpNVVo6RXaYzHzFfiFnx9s5sXoqq
PDOy88hkT2sMIfJSK1EupblWh6kxf2SKvRXMSHarvooKnc1s0cko0ZLLtpMeWHrq/c7sMcB22coa
ZYJXz9rRbwZ9g5N/4VKeTllS1mAImdyiTTF20g3OhhPol3CcVgJkWT52MP1rU3tb+h5BVPqgNA9C
/8BfHESKXdtPL7J05uuTbMWge9dcj8ZFxeIhbBuQNH0rmXdzr/J40PYSbc++dQHqxmb24YjgfoZf
FxXCZG5X7oNk+Nq7ANftS0xoDGpbvugUMbw3tF+rdrq06RPSnbTneGNLJBmu8wTWLGJJ6jDl6Ibt
PJAGNlfpq9aKR2eC81xNMLdys3DeIHh+uFXLmWq8jiN9VinlFzMTl9kMoXha2aRKe+s780utN6HD
5lT0TqhxL6Amwk08vCyA36OxoIiyzPIyhubWiOyIVxcybnmhBUjRWCndiMKOpM7VBIIL2BpmyVhu
ZhD33RWJEVOPR1rYUe+6R2HKU7K0h6YZ7nwiEo665NZyjPjB6V3EEQoRzGwgaiQLxbWmF0c07rU+
mV7EBvd+kVDDg/LCmIbrPvMeGpOv0DJ34OJ2NhOxzVi62p4Y5giYwpe4vm01tG4yWHaaRYBKo9hn
leldw2yakdzGThHoo2vsyXkhyuFrs6TWvh/FfaeRf4LgMPbeLcqGjiXv6FjsP5wTzB9t3Mv8ODsS
tQJb17y4Wm8LUe+KdAkT8ajY6wXqLmMeQAKMHc0tfa3OkkMK4KT6zpqRGs7MjPoyM0+Vo/STP+aX
qYckzNe3j2kQGmdn3bAjRkvy2yZ10wcgsfFdq/NBkaTqJ3Pus3egz8uBFGbtPfeIbCtItLxfkD9+
WKnPE8bsdwb69o9yzNLrrHTGOTKxPLNqnfvnHJHWNSracl/5+oyiQIkLAiv947w01o5kre5ypgS6
LAFdvsUVPD7gqixP4taldZr0XRnr7UGDtbMZ2Ym+jG7yGgdoWRzx6jXskswearPV9ix6NM/cIgeU
l0O6tFeFSPNrzyr1o9ENT/joFQUUU9CtpVUYcnMA9SYRbCej8BMWmvn3lngmzlzsQ9puMexoUi6B
5sa57tLn2R8QsblPXYbClBw38iRojL3KNCMNXiEW40I+NMLVbony+OZarzWFBdFdK6FcvxIyv2nI
fkgUJj4GEAfmSBAgvbbcNvZiHbKhv2ky765N/exudEkUqpmBd2YFJhChdDQVXQogVF2DBnnJMlxA
5jdCZ8JsoANhMwNpcezZx4t8n89w99lRgY578fWrkVSBYbw03GTnsXNJ3JvaGw4sxTcNhZ1nvGsj
u8VUw45ANLDVfLXE2xIEzJCfuG9D5sEBYqHlq5YN805pTPuSjmAME8w0iTDLq+XFF72O5NRxaxfI
4yipFr0TIUtbJiXXiZBH7EBImBIEg2b2THRSv3YvDadKEi2442yglQaJPfCZbmpwzED7Lswsss1j
XZY3jWcPOz9TW6vQ4xfic8qdVVNYa4gdCaSKpqV+Tqv9ILOLOptvxTpMmkQV44Tzu+PcBXS4k87E
ebgvVHBJtAqYyT6oosXPpqO5EPScCBL/SPBlJoVu9ibWNf+JyWC6s5aAuh/3SxiM+m6o1j0AurVc
Aq8csOBGgedvjXytWdrMDRvycsOChAJ4ttDVnfQK5u9umIznpW8vuh5tbuXsszlBrCyC74HJEcl4
RfsC5NcI55RUH+ECjfS15UKrx/1QzPtcI/FcI0ZgkxHgTJ2FYb9aphhpWPw9NdkA9uhc4aNdEbV3
6fXvWacjzLEpkWxnXkI1Fa88crl1RtRv9fRSLfW2rpC4+jzSWZVDyQ1quRkaCrPS+OaJb60kDYdR
3xUJDOBL+AcHyejGocguZNuHcJ6YuJIgwkEy+tuMANprlHQEMfBcBNjNZFTV2yRIHuYepDH0KO8d
6mcV6czbosSQJ9b/V22mP7HhTkOsPyOKa4eIkrzoSt4Fa9of5oL/yGbxWwPFT8aLf2vI+P/QZrHC
SP69zSL6P/9VvZevbf53Z8b6r/y3y8L5l+GshnHXCDzMNR5Oqb9cFv6/8MquKEMbPx7g0NVK8T8u
C+9f0Bv538DxAdfhP/6fy8Kx/8WfM3G7wxDB8o6z6j9wWfxssXCD1XoNstS0TNx0tmes9vC/MW7q
KiddMFvGcKyJIgmaIENFjUxuzpr68Ldv5b8NHn83dPxs3f3xUuwCYbsgoVuNkJ+cdHnmxYutkMQh
hqLeannQZ3OXX07egDZAT+R+JAvyUcjW38tsSP9gSPtBhPtfeMFfr++t4CBcgyvT5rP5bUznGJB3
H4IYT9Ibw0z9rTn5mb8T1lA13P8lWOaAxY8I0W02lK6g9e89a/C+JcKLbxi/tF6EqJjSSCCVDIht
RcGxi3Ng8DsOubLae4YYP0DseQQroRBHs+LzlRIFVDJUHmrOlbRtqo8JHQWiZ5Nac5OMTfrA9eMn
YYtW9S3x5uF5GBzzUWcJewVqErEoIQbp4+9/D7gr/Li/fCNQWEDBrL/IZyv6LHUe/7PowzEjEWCj
dNt8pShiBk4/BGJfE679TENsvBYrHDzC+U2ghKwloSHYWclCKUfGjyKNnZ2WFkgvuyyR3zpo6mQe
DEi/QoeGlpM6SRyxL6htvhkTRcs+cfL+ARQjDGVI3sUb7oZVJDsgdTv4RGm9TMpnrJUxEr9z1sBF
MOnpxDLE1UQRBX7b82Cepwc8p125JccKaZwxq/R6mLrGRLYoU+ecxuhyduyh6Lv1Bo8jH4hkE8ZL
khp9cs2+3eZjQJ3atnbaRimaaS8M8qp/1Qud4VXlEq92RPXkuVeLX3ta1HWW/zUGo50fai9F5pZS
Giy7rJ08SloKJhqXRfX3gEyT5AY88mSGMSy7V/wIpnswoUdNCAghI4Zu63WMmLpqgb3Qx9iMJJad
PtIJCWjClJM7j4ST+fZmsRcH2DJEL6UQvgTKxug66SvkawSWP2hx4F106PwbFO5ucZe5QaZvvUmr
jIhsxVFFNlp775AZtBLf+MBstKD6g1cHiJtkt3nse+NVDHI3JqHAl6yBxWAU6NQCFh44E8ziCI+z
YIs35J257SUbqrMAWpCjhhZ4Ppx0LHC6CKM9m5gL6sgqvDFAbNJVLtoLRFRvarHTDEGnRS4kPxJr
CUJM3WaV01LqeXlgzRt4IcSLMlVq5dZWxbjTCEzNdvrs60P0+4v/nw4jQgt9LJVg/cDS/XzudcKZ
80FXPbRaj5i2lDq0c7sGxpWJnkKNyP2WASn7oGP48QsVf/z+9X+2W/44jAIbR5tL/rMNeXW9Nf92
7vaGlmSFz/xfCoKg+ra2L4iIyU6mXa5574H4g73zEz7nrxfEnOeZPmlpuOk+WabZ7Bi1NGxFHAoe
EfjnPaaRqr1YrXWvtGntIUbvEPXOJKKZHvtIWID1VpO/O9Pd0CqUImZD4GjWhYVq0/uDyfUTWmZ9
fzaETQwJK9QBssonl6tZ6sHUNEUfNlqM5zOYGchY9B2jDsRog6bdCEUyYUplbBMw7EAdbfX2sqtL
rd93KLT+8LT62XW7vh+e1ToORyfguW19Ts7GXgiIzKL4Z2fbsC8gUoQAR+b9f/B9/8Mh7FAfEK65
8qexVK5P6L9dCQYdEn6aWQ/Tehxu0kJ0YstxZgmcC533rk01crBJOCiUyH+lEUETzqOaUC4E9QY+
mDnK23l8aZzFMnbs4NnueZpd7Euti0viCUqMgP/pxYs/GFUOoAi+GYqQn9+yj/PaIwOItzws8s2w
6m7Pmr5kC1Sl9xmLnD+YrX+BpiH+ALfBctQxwTNww/78giQH1CrRTD0cYKs/NTHGVfIQ3ZGxXLKg
HW/GKt2XRpGcRZDnT+PYYqgZm+5PaNKfLwrqFioXEAfQg5HnkuD96a4liUAa0iDdxva18bbwUbfp
8Bcffv/1/uCv/e9z+a+Xgazl4OlwfWwcn4oyYxylLYYM1j4Hf7Ux0iq4B7Pl3mVkbX1TZJ8St9cu
j7RPw2Wc0B3jE6yETqSduyJaDb82DvXUvDIdRGPx+3f388m5vjmYPZSNNotMn0rq00EifRY5aHbW
cM+SvDDH17ZTYaR71qePicrFFmmGERGzm17o89Dd/+evbgBf0WHH6Tj9PxWRxNKgQ1Uuw+6lNxLy
Elm31HmG/n1Oky4iZF5D42yOuFOkju/IW8Y/YDx+Lpr++vymacI7x5W8wsh+vhYBjqYUeVwDQyXY
4JGkbIybXjTTTS3pwGNRMHeYGeX9/oN/OiDX13VWQBMEaU5JhKSfrj0LdxFWqlEidrfqbBubuv5Y
JA2l0WAl+RW1mrfVuppRUwmZnJFCOk67zMng+tVOAaAG0kw6Rb9/V7b+cwPx420Z0Hi4Jlzgc/pn
WK+qlQkbmODxDoNs0lj+LZGmHSZZvVAbKrKWBR4eK3NZZ9vq2lFQunIsoUJjTZNPJKgS9XlRt57T
snuyfLwLVsuJZy1Q1TdG0bvfkFmiCu9wwNQRYWhMBHC/pC9u6gRiW3RUVDJmv8N3sdzYSfAsEj25
9DhF4m2u+UQhKT3zOFkdoqCphNSHgyz4xdYmNklVn2bLVncIXA3LTm+rXTXJGVVoTIoTo2nzOCoH
D+BS9riB4tyMCYQlYoOGe5Zf7GbUz5qERYIC2B0adIe8+EU++OTR4bsfvEjv4+xs4h5DziAN88gq
KuiOlFESLyX4FuTduXTuRxILifIcG2FsWhu4XVjNzILxJrgIZCkYLZZXGWrA0zxP2May2igiKir/
Y0l8PF3T2AePpHIGWLKo5aco6dbdntM37TvZhxiCLQenKRIELcNy3lFgJZhiomJQ/cPkWPVLAZ7j
3U+shpxRVD8OVoJWvKfkFsdHzmR2r6RnMBid22l840mOoXzhIfmg20k57VxQ4+3BIp+SRbIe5wmh
q2aMGKM25nOlCuNd+dP0hjkgRfGuIbniwwRPsNtyqsKss68U+dl0SgQVoX7O6prZzmQS0F1qCgd2
3Jd5HpqTzo6L4D9MGDLhst6McuGdcVg0/nUhreylLNyAwagx84P2ekqKLBKiFm2bmWKXc70KhKuU
QUQYNIObGOTLsWoLD1ccrmX+HqX995lFxpMdc4sx1HPi49R0aHy1cUaxmcsZ3xIxNisZv+jEE3Hc
6hX2R0A6k9D1LyalyncqS+SOyiiXD5ch3QtLENwfuT4ZbCWLmeFzqlXWQ6vlzZdajfptbRrBrVaM
SAT02WLrWwvG+fmaWBKawYjTH8bSdN0PS92FmrRm78jn8r4Z7JTQZ5Qebheztq2Tk/tuvKeMXadx
taXarSmdZMALOtAxaG7nYwectCTZDRTH5C9D4o+jgcTUYTM7WU0vkk/TUfipJOdg1iw+Biuv7IRP
rM0jAqwV12bc2D3mrZROxXDr5tVFYNKFDkaaMaRJNFd/ca0b4UBW+Ad+hPTVry3Cp5xpISmQWBh/
2JZ4kli5DEwl+CYVKrS8S5R/mlsXBEKT59pxYGaNCzUtkK3gW+jeYpKaSZfHICFPfHL5Q9+RGPs8
nXkWK6iFNOhyEpgoYgNY+wCPqOrxtlBW7dm4kIVFMSZ15OeECkYqZh2+Z5iHKgi3XmLt8DIFXNh9
bb7Qw40i9LPYus65WKdNq/dueTDdQe+jthcuGEQ06WaELsl6CJBsI/ZK8uC65jfyI1ornYkfN7fk
F8z6S5yxOSFPbsUak4m6zx8kEf4lyRCIAAYIZEN5LdynsStMZpAsKplzVrF4sa2C9T/yOKUdcyfw
vsq6h6QAPc/4NhHVd6sNKFxCpaH+22uZFvCbky560S7E6m3pyL07Np4Zcd4+euNN0VvBFxNp/kcf
BHjenGp5qMtCrd/rtN52Fvmw87ywUTYXeKKE1K0BP06WGISZekxSDSfhCdxbOfaJOHWsGxIIiQBu
ROr0BxNs8VWf2NLfugtfDf6lgmgjOTT0lXKw7wIH5TdmZr9bIoqUJkUCr8Z7EnoDfVMPRjdv7Zmx
O2sDB/1Rgv/uMssMR3LF9qkE+lnrF5beLDcDZoR7XR+hZUiyu4pN3q8+6alIk/oQCDAtoQJ7AhID
D9XB6isGod3kGteyFta0YzCQoF9er/yqE8l3likJy9h80k8ZVwRJFAWyYmywRATjmyHhC73HoGk7
v3d59naFTWOSd8utNprVu75Y4pm/YIP+iKEjiKmpvvhli2KzWPIsi7I4Y4CfWICecPHbdYT2IKk2
VqqzsgeN5NyNtpNaF9OgYwe0TKs6+6bsQbk2FtMjvQ3cuylu5idB1qQX0ulNzwNRyPI0d1wsB7tT
EAQxrDnERvb0glGH1LA4TGTY0aLbNqIjSsvlg5PTuCb1hqau6XySjEmJxom4oEhhEg1q7qjGyVMh
us6YqEEdp7/akdqZQ/NzEpmbZzXaagSs6nY3RRp3brQYtTuEnWC0HLbt1KALqWT5tVoWb+SKw9Dl
ISZZNIFasrXnfdYkyGONpsJYZAiCRqMksz1ta5nLMK1DeoTR/iBjItJ1NfShzSqFc8NIuxN3josC
J3CH27x2FDuxzH1qzBk7f20s/XEpypwA7o4nYWqmaJmFpZTaY3jaFmOtXY4KI9rBjnM2vF17l8Uu
0k44d4hSm+6qhOn0XrLJfDaa8aYdKL+paU648evsD13Ur4W0wywSry9Nn+n90vGqWguyIq7J3zPW
GAsCFSkjF55a0tMuGA0gtOwLPQJgoF9jHzD/wFD7eQLxo3CzqF8R9dqMmUEw/VzHGrPJqoceMWzT
YL5e0ljutbm1I1cpHa5AJv7QUP9aN8O9I9LB0j3LAm74qcGX08JWtOOWJOQrefElMJnKUNPO5yZ/
DFoxcprGxe3v69N/+o5BBdNJmXqwglR//pBM19pBDG4XdmQHXRbBpD2LDmAXebE9MaCaOmoktj/m
gzS3qH6M//wzrzEzJjxFE/KF/qlR1qoM9l6c8vK10Jgk9O42GFErDWyNQi81JDqaXD/+/jNb//Ch
mSeYK2I88H3v82wrtwcPjCuBBwQnD9+B4zl2aAwtoqAxk1WPcqnP0dky+Yn3YDZIbyX9Z35Ne5wz
CAL6jLWdNAHtT/2SACd18MLiYVFXgVmhpjC9lie5Pfojli5paF90q+NZYsriYZklEaapsEO1QBHL
68ACjDTURlT1HoaEEoQ7LMduAORuVf6EqqAkinupTBJRfSb/Ew6HOSaQhwEsYUdQE5hm6rh+Rj1D
a1/3Huae339dv/b0gE/hljLE9XXuw0/NtigRX/AIxiHQVvHzLLLcIRBiFU3+/nXWv/NzU78mcbHx
oXvWwa9/6t80XhnPXazCrDcs2lWCFV9KwzVAl9S3MQo/CDfd3GYbsx3/9Bn/4V7n1ltXTFwSkLs/
3Xu08jqlOcwD7rBh49lJf1T6pBDP2gtogdZ//o8/q88YH0bYumqxPq9arGkxFy1n2GhUVkACpeZs
c2qwjdb6/X0p131unaLbrQP3D23yP/yavPJfaEhIvp8TiBaD9Gcf2wTXMa1n4sT5Ngbg+Iej+9M0
9cfh6bPJou8BN8gd9ukLHcH7Fk7TDiHBEOUB4lN8ZbUWJBVlVA/YUdp1JPmG3cXDUr1u8vGePwZ9
ol9xyASnrsSRRChm9eogI/3DiMT49f53DZ1zlpRuyyA96NOhV9SUfVnLchz8JgSiCqlGEo4zlrzQ
cdr8W+YIiKqmEMtZmBPKuslbG06ZzsAYSs1UXTgjZdQIoBnJjie9UX1tZSGJdm40wtURWGVgN3Ao
ZBuGwoX6w1DhH0YdzPrWt85CiZwC69O4D2+lLNnwT2FASPPG8i2xlzPZg5GSRv9dBziEMBAFQmrk
7ZH5tf5NIrF7yKyJxdSgV9afeKq86i93LwNPDnC4Jba5/v4/P0jIzl4D13MVBgHV/mnAPUllNdbW
K7pjljwBzmYZFaaWPXm6n2ShbHMsZiRmCPyDlsrC0TeG26CqadbHRGc1Q4HoIivL2fFAuDHSdxQc
aRkFBeDMTZD6KBZjYQ7z+pIzYxRNS7+PvUsYe5zCI0FeaFJnJZYs3hr0HgaGsYBonczx8GLo/F6b
ASIPgKJhju8VwaE1S945eYgpo15ht09W1CfK+mAhpH8hUtMG/xQ0qqTrhDoR6uRMT1G62H0a2vGa
Jx+PXHGHZfSM7MJFovkIyEClYRpb7ZeURfW9ZeSlg8ppaFrWYFkFgwct4cbqe6/Z2uzxtAurFsTO
EyqKINR14XUU8BM+MuJ0ya3OVhYJqbqNE9mWXRb4bHT3Umen/tUf2uV1EDN5uC0QaJBpoLa0yIQQ
woaJmUG5hbsC9lnJlrEAPXW9c6qyBBun1zHUI9U8q4Bsa/hkHgRl/LWDHlbQzb4mmsKOhya52KLN
Hoy973X5h0v/bx/I67V3PcMISlzQ0hhSeW2MRSKXMeScuT8HiwdkiAk0omsfMUzY6FJ2eMzg7284
iuUVcw/HCDGP5BoqkLQO/vBg+fVwd7kFQA7gDvHxgn66W5aEuAR3StkomqmxDzB4b/H9+qEMkN5r
Anvz7w/3f3g9G20C0HhuBR0p9s+3gg52BugzudFxAkCQ6w+4Irzv+NxTzmH4YV+h/eEj/nqqsyQD
Y+5arIdc11xPvL/tSDxV89/LnkW1a0EOgi/YwGSw/kfC8hMo9N9LFNbbmjOdvEVcQ6sW4sfJ+rfX
MVTdda1NSe7NXXZDQSd2KqEDToxWe1ElIx+HzuTIQ2HYWqUmbn7/zf46S2WmwEPz/zJ3Xrt5I+kW
fSIOmIrh9s9BOVi2bwhJlplDFUORfPqz2A2c05I9FvruAIOZMdDuP5GsL+y9NjNenho0yu8/pmlG
CfllKBSGsQt2fe+EN1bfYMEyzfrrn1/qNz+ioCBgyUALwoH54YwwgxZjcKb5pP483WMbI+6xjn2E
RAAiViLJ2y///gUDNo98ODY5KFjef7aiM0xD1VaHHUZkxADrEh6aVz5I2IcX0tPZJ69nL0/k9/UW
QGbPZmXDCoXi6kO9VVeT13om14wq6TLX+FXBpJTQUDbSDtAA43eGCaT76aHxhNFCNArdL0aeTXjM
cMhluMOypMFbNPRXLaQNAD5ZTDJ3IMb+LuvAamxgJVHUTKTgoqolGuKzmf9vDnJSLbj0KQMJH/14
2Zd9ggQcUto6ZiR+Uv2YX5dlymBECmyovohj3LCGQ3hR5hwLe5zFJ/fdrz0bFauLQkQs1RwbiPc/
Wsxssa/ciKukjRIkg6WzH82p+dkRM808JR6JpUCy8Ocr5Tc3O2UyFOwFrCxICnr/ok3oT32rwm49
2lyUM9udk5Nk8ycheL97FdRILDK515dC7v2rsPbvLJvgpbVX+/Otov1dI6No/mXeEQ8UQLigqF2O
RhJTPlz1iq6+N1tg4aMK6p01lUAq8bNskCguIxLEt3/+7n7zBIG1zU3N9WLbXDXvP1UpGhM7UcAo
xq7EOQT78lTrrtxZbs2c58+vZf2mJiJ7jrhYIlw5guwPjyueGT4TtBIsne18Z2+gzsTzsvGgAMDi
0Mk1vh7/hmE/25FOApVOE/tqqMppl5seNi8QFXAvPnlTv7ntAwtHRkiZha5J2O+/gWFWoUzzsV93
sQES0q2aA2CL+ktnNdg/PFN726CJSkzKWZp94wJHU0va2GcNwvIyH54+NAis62gq0dN8xFuDa3IS
XAbUi73EBtSwTn1s89K+l1PcIt5ULYLUPA2gT9Xj+BaoIZxuijSxXhn6kGlZ50EQf9Ib/eZuRtTA
6poFIqG9H1Oi2qENSt/BeKqN6PkvAJHTehCKh3Hehinlmkbz8MkX8WvXu2hN2AsyrKUbdJdr6B8n
alAYQTHGSQ84a84WMXKxsVyM0CwCJBaMscMrNZgXyTC0r3++En7zaUOiojnMmTnxDj7cevHIeUNK
xUDRm5s3GCzY1NlTidzOiw+TUN1LUWX1859f1P71VYnu9C0+abCc4R8fK3VaxstAlMeKV6tgbYje
7q6o2dJm01I7RKs273C+JDJkO4d4fOy3cNFm60LaVffkj3Y2sJ9y8ZtOZmJjg4jdwEW/1RfjAnXT
GbPrxrpCdgaBPA/ct4Q09oQ7LaJTisUI3EW6pQGKp/K8faJTe+Rcb6fLco7aT2qIXx82CBwoWHBw
O9zqH3sics7w3AcMio1+EHuMo3AR7QBDYZTWxz9/r7+81F9zUlIuSTVH8booZf95GeVRVgLZDmaQ
O93DLMGuRQqDWwOV599esFQoFILLSIQdGemW718pDcqptDS9J+sbbPOWjI4VDdjaNDBFjq0FbMpp
2jvHhr7658/4q+yDizUgZoKBgiN+jeXjYHBEFMXzOvQK876yMJw5E8sPFXj1YZ5m76aoUAAaM3tb
tmYOGNC2vrUS6aJPj/1jnsn2qq2Xx8ef39kvZ6XHO2NRwj28CI+9D2elGZaYAQhgX2ejF10mAZQd
EUPh/fOrQAr++NBcSDaondEj+0uO9IfTS+S9XcraHtdjjeZvl1oh0LfObwp767OL/9r5Rf3VHMWi
yhIjhvqoyjR7caeGKzHRh08rzU66gPTJmbyCZ6++h2MevNRZPVrbpNJVcGkzZq5gB5vmvWHI4boM
2k7uRGpmMeyqSc4bYMAwFgp6n3ptScNLjq6Wdr9isAJgxUDGvDDaZichgbOUamcNfXAZZjKqmJWw
0sCkmNDlT25qwgjWiqlqPrd08Gnef2stC9mnXSrUTMRd9gqT8DS/9bLH21AnRWKeVUKU3wkANMsX
rfp2YD5rAk/UOcy8FS7JbDo2obHk0POsNzaNdvr20LMD9+/KYIKHNsdcED8dqcVjKMfhhwjquTpA
mMpCWDVOg85QkdO24vnTODsmrmxHFZrkalMCH4UyFdnfWRsCRRuMGNtL2Y8sYcRQYgMsu4gtkV1G
iJ19I34TfoyluMV2wHbIk+5rKjFBg/SR/be8jtyfqAvsM2A61KKGyptw69VhBWBzKqpLtn1Wdpqz
vIIMjPYKBY8Td+BbZ5FQXocBc6qpwGo6oG/BWAQuEA9o1dL5+annwQ/QDvjV1m3UfSViZe6bGuHx
BpggMlbdVfOXCioTwBs3yFbhuChLZi4G8FMeq18MagUMv77VzXXsjvo1wAtkQtJS0/dujiDOSCye
j0YvPWDueRfg5vNyR65y2tUSFoUNkywZNDxtjcI3OfgzGdl7MInVwUSApA5MvYNil8vGwiicmRLa
sEEzAQIjQX0i82lcrDid/dNNOwWhmhl0T/vHI241Il4hTde0QClU2LYwUQLaRJRXQr2kuLHoZnId
r5OyWmZ4ZW00R9k1TYy/NtDQWLK+dzdRUpkLaj/2nX1S6PGlYbXvXCR2FO7M3mtdUrYVsJXa8AYf
P5Krviqecjc1mGtQnonsLxEcVU9ZIu2HHikGuefFGMGmNJbxjbZVeBeWdvKQhWPoQcJsoheT3fFL
Ow/aZjgUel9h7AbeagIzjXAecenC2dI4nmQgBWR59svJamwjY6MsZjEoTQ37kYSJZqvULF9pbvpj
mTsOUULlNACySvrwlVIap2Q7AF+o3LlC5iFcvpih7ZCJK+0Hckd6FDsHdyK6fV1RnaNJDxYCTZVz
S8Jbk+EPUXvyazEzg1qBq3SRLdlWc7amLnyb9AAqPPISXDlm60F9rKFG9ashrRK0BAAbjY3DqL3a
dIEYACPFqLXPBcXnFa0N9itl1AjzaApi+5Mz6ncnhe/bFtaNgJHkL810y3JkYG1twth0IXvGkCcf
K8x/xSpjzntmownZ2PfG8Y6bLLqT7M2PMAfTW13FeX9eBF2ERfeWemIOh5f5zw/y3xzWNKumz/aJ
GTRn2vsjlHqrqDBA6LVdZs5Lh+ZgXbtV+w346yfl1q8H0zKzsVHqekjQ/PBDB5ICxSxSTbvjxhLS
Hzf5vjGa+bOD+ZciltkaXpyQ8RpqV8R37z9QB0UhZFePNKKH9IoOpPe+FxaotQSs5Imbqr2xi2A4
N24z7Yuklt9Q2HDz1EUA7WxZu8y2PIwTMjEb0dke/cS3pjaMx5rrUX3y7f8ilqX7MSl40S0HdLds
At6/WyQzNRTDVq8BWoJfjxDtU3UG2RsTH++6H0O5r/spWDPCjS+TdARPrd1/G/S7vAnG5WwfKWXI
cfvwyxA86HBosoMoS9vY6wngYCDHb47o3Kuhb6xPWptfKwdejr6XLbrFD/XxM48D6zNwmWSkJAOo
DbMsX0Z3zo+YEbA2hWn0ySXxy2SGj0eTvcTTeD6+nw/rgJxTxjBTRnP2goALciIxQJlV02VlJjHR
v5F/0NEc3LWMh7cqiDj7/nyP/dJnLG+A2R1KVDtccvLe/8h1EE96HjFTmbVfw68swTir2X8WWfYG
qEx/HRNXPP35NX+9r3lNyjJmCyRe0TC9f03TKJLSbutxHaV5xlg7BcaPBggpaux/8oQTv/lBLQtQ
CwtEGjh7CTr6Z8EfhRNBtmxC1kwz0nSdolQaV71yvW9ah35/9pOh/cbcoYj3biaYQJOPml7MUcTR
ztPOvWvIJH5Kjcy+74wYCRiOk7nfD6KxHgFbR3DLU3GF/Sm6JXoqgi4hSvxLTq0YCBhzY77MlQPT
0UNQui8YIz5WTZg8R6YNV7SiTz7roQov53QIkp3tDgL1XJeVN0GUTcPKG9vK3zSWnPejCMEnA/aN
g61UWfU8+VaSbkvDaV6gznLyFaN2adhc5FDwsLGbpEZp2mttGonYE4kw/GSuDqbcbmf4J50OVXw5
INeSt4DJA5h0beeHKDaGlBMVM+FnY4Pf/RRcZR5tLTmxpKS+/ynYmXcE8Eo6orGAbOTZF2PJpzMG
je4OOU/1yaX9m9fjmcHQlkYP9cRf8oZ/jgycMJ0RolHAhBa0mcmNDFR4flPCU6+LDRe2+ckx8us6
l74DWwwzrAAtTLCYN99fbakwLO4n1rnzDK+FQgCQX32FLKp9hr2V75K6tTa+Z007RmKK9TVic/C8
X5vQnA6IFIPtkJnQa42SbNJ/fds5jJA8i+6X7+VjiqshdRBWLl2RtMb0yUnYxGXd4DPB8oAd/Pm1
fvNYQWLNvc3uFVHQR+dB15MMYpB4uJZhBkRKSnnR9LN5RlIs+WOd7Ilrmj75gPbvfnE6bQexCscr
ua7vv/6+zpLUEHzCIQmxRBFM4kWg+T2IXA0hMh4FOqDVna8L+ymRBvbJMGogwXeoXjdJmg7TBXck
x9yUMdBaqbjMX5sgcgoULJl8Qo/X3QtGcDOcLJeYqZlQDWAWketvmcv120Fkudw3TVb/RAeOuAUu
Ill+f/5qf91q09iDxguwfbkecaMf7qOBG3eMmPCtA69XX1ImUjuG0wQHNUCMt3GkYJK4hK7EAzLF
pHCYEOfElGGt8doLJcPPwiB/UzzxfkgVJK/cJVv9Q1WjrCYilzxGpFs1eUoVy+5pxVos/qSv/yvq
8d0slF6e7CwMzTw8+N8Pd5fCfxo2rdbQMycysy2z7rYTqujbya/gpYE04SDVXpY8z0yAuo3ljRr2
Wl/Gz9nI5Br8iJMcUxWJhsgCr7wzqS38E4RaG20lN6Zc9/403jI5Gp/SwjDJlUg1IC+3TQgvZDsc
xeuIBeo5BxVALEPl1T/ofK233B59mnFTVHdYeLMLfwqTm7xANw5kumujXWCaCPIzHckna24QU+Q+
osU1u33vZxFJwhSmBO7dKrUz8dnS86/5+bvvDQkna1bOeAb6QFic97dF3PlBFqWNWCNdt+qNZ+CL
JSqEOE0DmSQyU996Yjhn3wWGCFF45iTInBCPl7BQfe8uH9wqvqX0aN1dxAaxvwAlWD4TnYPrtsl9
BhVg4WS/9VsZ1ve+n0l/y4maqr+9h/8KDPBf7f7voAB/xAf8PwQDBNxT/x0MsFPPtJJv6WvyTzLA
8nf+JgOE/2FVs4y78BiisQiXRulvMoABM4CxNcNOjE7sVzBn/x8awPoP9qelEMM3aCHhtP8XDeBa
/3FIZvQoSv9SzzCo+xdogPdPZea6LoewyblIrC9/+mXmKgmzixieEKYiATWP+H2JIRHhqVJle4EW
xvxsWfDLK1K/09UiLsCdw1fz4YlklkbTtTXzLrKYqzXcUx+Ks9aWCXxWqWYn7HS+/ccvcvP33fTP
jf+HVprPxQ6QoeviwFz+43+4yWqAjHVk5ou1fC7VwgYtGdKPDGNXiNh8QqYaH8eJR/Z2kRbxV0Zz
hgtnhbmWo4oX3djoajAujU9hh/ll9+e39/48Xt4d4ZwM9zgtXAxnwYdHp1P3HmHHjgLMNZGrPlSt
N22iufWuhVUz/5gLHWwqgQVl8+cX/rDc45Wph1BgMQjnSkN6sZwe/6jCIOL7KOjgv+D5oZet2bbt
48KZ1aqpk948pgiz21WKJ+2658i0zjLtQ7ku3Naw1lDvUfJMzDSLO2HlQFk/eXfvW5G/3h1CRmbl
PBZpfz5mabujW5faIyutibACA1y0vBvltuw6VI4qTcky9Q+GWojCwoMTvCfyof5ZBy7XUo7o+Xsv
uvS2JKbOgK6dxkB5PCP8LLkXtNiHRhFdKdpSZiGseNiDYV19/zWSaeWFo+DLyEQkjimn/JZPk53z
vDAPvql+QCCat1D71Zck1u6LxECmVm7hd9cqqIqLKYvFN4+GJl1ZSHpvjdF3yPuBQrrqAyW9I8p1
8dVJDckzneJi2rSDsJ57BRRqnWnCIMN8ypO9jIHrbcbA6OYbRm/FeOuGqfUyR7XnHho7WvBqDQrY
/AZ2YRXDugEleZuFpCBtoT45KeLdGusncCEUTBjdYjUOZA1Zc3aTeDod97FfEYUaxTm+mo6HW0wU
Ruf53b2vaLr4ocbgxTd6DE4qlUZ77Auj2w0TVrN9B383X0cQFQm1t3w8RNgDyaTAhoO+r29a+5qY
iGg64t/yl41pt+g1FFb1tecPhtpWnR6fYz/xyhUiOG6GxdCfXkypmGG64/DY8sDh3zg3E7rvwRwo
8KOmtG9VO8WbostFuc78Nr10qUDUZZW20CRtkzXEyhgLtJFGvox/4ppUoZWpSA7YdPUcyT1rPFw/
9WzXirA/4EH7yTDNl9gTUQrOf+YfjAVbYAwFql8JHctTE8UWmrIZguwD08r2HLTaQRmWJ9l03ZtL
2WfVsvhi+S4uIoIZgh/FhI1iJZSTrEt6QQRBjBVeQDC2wHOZ52JDwWN147kdz2myxMSZ+nUsV2Tm
2GKF1odHGps68zWAv5Tv2IpGl0EcuDtvauBYlfHguFtDVDhG6nBez+APhu04xSThzfD4psxm4wIS
gTF3lPXJ7Ywc7Udaa03bmnorNS+Yh7a0rFsm4p06RWSNYrrKRDg+9C5pRivl1Em4o1211nFYyRsR
wx6gW+2qJ4Mny3CgwvPuG8ZG41GAAWFOXMb6NsjdFDrzGMOCs1SYii16/hrTMRlwRt5ZJ6cInsvS
KBGi4K56njvXsF8bL1K71syzH1MmBGAXL+dRpZyJHZDoKxD3ZdWf2aedddPNP6wCr5Hsu3bvpPbw
Kmo7uzRVZj74nVnOaxpG/EXDPHaHTivnqotEeYy9vn0Sqnc2zgKsLUBz42VyqdvbDuFhN/D5p9Em
TwQJJOEniURWadTDLsyTEtcpctVs7TYdCVvsU7CGBhnPcd1ar9g50YB3aWQ/WRVgFbxrlXbgZmbq
oIRg/xdxTuwwWLx5XZw9GJkb/pSGxFDQ8ffDNXS78gFEiwOyLPDTk6VGYz3lgY9PzWm2Ym6b+8wl
lWBFRED2lNdwRlIkI/GWJRfoF1L/7AVSnsfm1owxfpVty/Nr1tN8Qpkj7t05Ey/pOJGsOtKzeZJ8
xbiv/CPgqfqirlnLrJCh1OeGLCWkmNJz2GljOeh2XlYJ8q9wsO/YBhhvJHeqS+mjP+ithiYAem9y
0u6EZzeo+/xn3c4kvEUOdoUpMRjE59rIb0YVB+F+9GsBb0bNd2YOpdjKApf6vl0iY1ojuZw6fKOM
440c70NhkSXWjR6yGFNtG52SdFSZnFymOV8vgRqcal2nvyIh5WKNiDW4tNsEt1sv45ugstJ9lucm
+6uoa+kWO/s2j+duwzfjHPw2cNcuCsUvMmwwCaVTiskuqY15Fyp7gCFq2wScS9jZWRL7OSZfNz1N
vZz2pixEd1FDBj46lTntWXHbrCAMrBsJq957Tv7iJfBS5xKyyrAryzGKbjtrpn53YOAMMGFseYe8
mN4Q4l9/OzleYoKnjljQDmGQnweCULYDzqsbowIAJ0ydgug0mcvGCbgYruL5uxO3br8i8oaoytBf
Tp+4dgNI56A1bhmK9c0xJWsuPHAgG9Fx4FYoN7odk53kiuXezt2r1ifYgwAtvR1sE++bh23TzrN+
Y7SiPY2FuBkCfWQA8wAd3r7Ih2naEQqzt3N7L33rtSzmu8YM31qrubPIsiER7WWK42s1a0Kt0puU
RvgoFIAW11FQ9YoFjOf0Mc/UxLovGu+yIwxs16YEGY+FPo2l5P/l2IelXwHLQLq8tbibHyOstDtp
C2/HPC87DBNjHZYZzpGTjplWnGZvEV6zrWvEUH3r3t/mniZVjLHBeeAlfE6f2mOky/foBo78Umcq
Yh0M/z6ZGMjuTLb1xUpgNkxPSkyEPijyRM49GHQgRiZwWyzO5LC4Oa5hOe+ssTLTS/yzWAYtg0hS
P9UK2DxfaBQ/G4gNgVxEgXHfpHh2eT4nMeR1z6HUcspCHBAMmMGlRlUZbMkEax9qk4cqWW+MqjTI
cj3LPrqrpDNv3NiJAN8nMbYj0jXiU1mxim4xAF0M5Hju/C4d2z2lhl4zqhCoSuiir3KNhHgVhL1W
F87UjNt0MEksRjAAaz2UWE+3yCmGgxUocQXRh/IdzSLhUnVdegmuP3+CXMK+/C6L+M55DArHWrtJ
Kb4B8EzCrV3Cap3JDafRLmKi0mGOeI/cs/Iim8yJNCgj8DHLDpW3yVj73cw8gGB2GVO1HZCx/gji
zlm+I387KUaYG6eZgH1KEjkffGp7Mlh02cJMcphd7gNtuLe+kSLfhhXys7Fi41H2DejDvCB/uk3i
ON7OLhFkue+36zDO7cfRc4KvCWie/iQRe1ZrPFJufexSKKRYBye9T8waA2ZF4vQ4EKVUpVJdw1Ws
kgOnSXEdGOH4jZ15c8ewWp2m0gwY3pbVpSOspyHI4KDnrn1JhlH8xZ50ifPC7qzvgjbwjByDxKGo
ABDdOj6IDdUigY/6V75Z8a1D+HPmh+OK4eNFaoOwwABxVgj1ROYTtGdvnJ0tsRoFokP1Mto1ZCN6
OQLO++bQ2jk2g7xZCAdQcNwtAduOPvRxYX1vcqavgcrDkyVrHwrSwPvMtVNVOyxm7DfzGsFDnUB4
dcbx5JXE0vQL7lI3NR4F3aRPmU/lNzdecDLLWFprvxn5JXtYTzsXaRTFlZXri8FzzmmcDadyoZFG
M7vJyNT+y2TiPkFi5G37qIdAlTHrD+ZJkDzc6qvacs6aKI27vhB6Ccd2hiO5JfFWGk1wo0VnPeSJ
qM5lZ8mryW+mG8Df7pI1XIW7XBNMhwGW/tIcjwZb5e+0priDQz3ehpwaexgkRkTkIynYicP+wGwy
0ArCoSOiZ5Q/KtuNLjBVWGeljPbRoVc/EFIpT2XYJZe2ruMbaebnOGuvfQQnF6gPsfXSAJAyaRyr
TOVfvajWzwKM4yOjLr0vCu8WvPWeIg4UFgPnPchxlkv+UFyoHogPSN4Wz4tn7yxp9ZezUfobMdsZ
BxqsrJqEq12BbhZBmUHDKMvmwdH06HVANBZ+HuzcQZLAVsjJKp6aC7gc1paolP4qZBjEAK6ECOoX
at3JIFhZzkhSQ55HR+0RPe/0ejpPbdOdmkEbD5Rc1kaJymB3mJBjF/Jz87uz4NgQwebDyHUJ7opl
sQ+cZj5rspU2VS9eEuxS1CG93OqQfL4yT4d9Hjlv0iXBbAd2Ab965EZnaczZKkkQoFS4kq5BR9cP
mH+ry7IyCahx49QnpcChmp4wBwKe1rvAT7rz1PjeejSm6ZD7htg0hO6cS3bPD8mc/wx10P4odYhF
cRjR8id2TOxmCpMv7XW0By1SLKseg3If4g4p6fVFmZQ/pqiOdtTe1dn1IPD7dodYwJHO99yJpnW8
CC6oxNsrH0D0qmYeyTXlpevEyRSzTSqPaKZTH7yMnzjN962bz7c9ko8H302yw0iC664AAUgJUsnw
ss9IRqwI4sBNLbkOHJURSzE1ryGV4ZuvSKPsUc3syBK0jyWiiUu21vl+at3gMXQX/kLXFfpsFKRu
J0PxJcAfssqFKIGJwr4YQls9WXW3MbooO3V1GAwr7Xi0VtbA0V9Is6Rx0fGFoQaxVMXmNpXjfEEw
hbXThHzzm4wrckEdlCUR8Zqh/hJEArkiDOrjOJk3rWvNW8fgkLbQ4O8Aje6TKa22TtqVzVo2XCKD
V08b07Z4vCDo2FWYpAjLo40BzG0+pGnqHJh1pseA+oKGrnJeC88sd2Wv75yuEfD6BiK7zdS4KeIU
GLQdvAG3sU/82tY24Gg5Imfdhw1hX0p2VxMbtjPPAlo3bZT31GvzIXe7Yp3YNmfpmF7YPcGaJMu5
rNNQgfdAdaHCwn8jNTDkeI+5vQ+MvqIdxfG30tfJPvQIDS5h11/KaaCyqhN8SLD/2FLgiWrz8KUN
g3t7aCwi/DK1bhoLO6RFuIpnTweDG2hVade5QJ6W/ahA2T7pMuArGGPoG4FWSP/m6qbICmIBtZ/7
9wRiQEDokIytvBKPG5VPdBDz/DUVybxrSWegGRM9RO04hnc8NMV6xjXUHwOcdNig+r6rASQM/ISA
sWsm/XRNrqRFIAWX4sMsqpeoq5+KcQx+SJaZZ/5iee23feIdI9mLSzduMmJNlHK/EqXsnjxsvFdG
Iabn3LDUjbaaRdOqJ3lgdf3sNuYigw1Uczkgkn8uXLO58TISLaRruJfKrpwbF7gaG2zaC22l5i0N
pThFQV7tm6pvTmwTGvS6RmItiJb+ZFSBviS0bbxFJ6euZBryxxKaHWlAzj3BCwajDVd/V+5gvZS6
KzcmkUdqLyqdA4hu8+kA3DF3VljHwqPw/Jb/ohNoEcptJWXdI2FSJFehPtuGfTD9cLjC9xrHz075
NZuKNrGKM8I3SCdG3+xHvGvVNoQkwFPBdS3YjaiugSaPY0ouXFs6jxDUdL+NakHROXfhE9RPi5Q8
EgXfBqMFP9hHUt62TZF9cWZeaZM1Q38b+QahKQqAeJHn6jWSY3jIIXh+xYiGMLASP5a83ZM7hbBg
2Ns+ULbfE9ORXsiMjnblOfOtxiD6lHiUskkz9gccyclL7gb5W9M0PN9souqZ6+xrpESnoZzDi05V
1Ehd3jwEgwxuTR8DeMZFA0hjgcZniL3GBnVy1Xc28SuxcWfr6nacoFm4or/tIdi8kh1FYE9Zaxhc
+ptlhqj1Esvs4HqMRvOCtmAw9zyR1LrOEVNu6JLIi1is3XDPjebrqMgNRD9E2pqXQbThC4dpb8aX
pLz5G68w8H0RO+SdnArhH5q3kkEOVSwLDujz6xntF3mkjktM0aSm6K4ppjw/DE7YgRpXI6Aoe/Le
fO3NZFPo7BISxn3pRGP9mnSjiy5tsEVl3calP0xMddrqesgLAeVaSG3h4TCtk9UrSXXezzaBJMvq
HnMY4fNfJNOnJZEQ5YAFXxRzc6H778gY+nw3sL3bRx3RA+yPZvsMltK9JeWW8VIwAR3dT65rhDY7
ZwxUQGSmLE8PjvJjYmqHguoYraQXnIUcIkRVKp+CQ1hFYXesZgYuFw25mN2uNqLBXllS2GC2Lcsg
xSKgy7JINNxz8iF8rHXY3/A4rfJn2el00aKDeUBU6YfiK3TcFl05sEXvJxO4HEELHNpuon/NOh6e
K8h7fbRzSkpuMtxUY13DGkVHV/ZDm5EpPuY/BsspH2waAsRJRX8HMmyMzr6riy9dqYovdE8SYIxZ
ut9nlXtE6VSBmK9MsLjpPhVNshVCu1c9d9kShGIjAZXj4uwkb2++jOtpbI84XJY4gS5qbxTSpurk
230nV3UFyxxvcnlBBLsxIfRLlnKzLsYKIH6SUmoO8W0iIjI+eSSQW9OifGrWVdUUP8OemetmEcWJ
R1iQXbEnoplneoJBCDCH3TA5tAOLAE+WmDoi0tFFG2CZY7XsA5XHGJ7BZH5wpMcGQdlogoh+m/ld
W3Ai5mpugcMNM07vjRd77nCXpHZnX49tyz8OmwCxf84o7yFquDxRE5vAURuNcHibA7mDsxQnLhla
LIgj4kMUxQTm7BlJrOWZuzpepiOZbYyXXtb6JBZYfv/EwkMfBsBJ4s6DM8IGVRj4cUTkLeY+bqt7
UTnBJVU5+PSYBcTa6ccyIZua1dO65YKAek/16QPdzDU5R72LotAKEDavCp0xRSdcg/Al5K4z6R1j
l8IDogLbhHWq/dvZSdElroIo9Y7OALucMDAHPJyIDb6ZChVs6c15Bfutw7YALdhj4gTW5iFDz0iV
PCO7WXnDxAEyuOnoHWdi3DqE2SXPjLFufiSuskogE2P7DX11ctM6TvUDeXj/xbN1yAy8aa/JVbBa
oFh+ka7EAnMn42LUUEUj4R6EF1ntMSm8MTjWSjGnTTB+6oX31V60skDbR1l1Azib/LB+qAryT037
acJkdxWCjC3XjWxChwO1Fo/CnAj4VCHQnBXFsv88Sx3uDCblnNJjhfY1aPyhfEo7wFnUPK2f/hzC
gZG9lfh9fmi1S8nP/Lkqd4xh2vAi5rzFyqvAHeERmmAV8bx7HgZSvlcOEcVc8cC6tv3oc/U5ua1P
apzTr/ZcqwcYbt2VpfJ4z5yBSwbtrR9sOurH+NB1Ys7PM9ARsucb0FMbkpbLYpO6JbdyNpeOvS9x
ztwUhmHZN0L6pXNGQ1ooBNMCDjBJsRWGj4HAgLUZxWO08ZnGT+vEKsPzWLWM6gMEt+aqy9HhFySH
nUjkdsoTji9RbenVuLh1Rr2/8dDxf0/FUnamZqnvMZpXDhTUnruCDGsC1YO+NAgXGHjU68KnpAAN
wmAwTUKulo6QRFKQW8rVaFTlYVYlkTlBF9rX0FxNm4GERWkFVoqEHegbfATFXYlNujFoA+2/rnes
+snbmGe2t3Vp865gh8O5bga2nEGLyIdoHlV/b4V22pXUHgFKUdsV98xzg+dUdvn3yZbJuM8ap/gC
5Iu7YMYY8WU2mQWserTkDNd9SNJNNw7XAbdfRkvgj0/WRJTnpg0ZrhzNVFc01q3BO/RLO/e2yJyA
smQxrpeV7cTmlasq8RINDJ4x0nGD9nHHT5cskQt7XwPYWqUDZTevGJaokt2oYtI9Oc0uD2qq10wa
5QU7zKnZhK7rXrnERsZrUufMve7IVNl6kUHiJFozZ5PKBtMFLUbUHU3bbknWsWpn3JtiLjgxVMJ2
ZagGqC21LqZ2XQ6NrrcFH0eveHAV/rYvbXmNZ4ZnHodwv2HOMUY7GpyyuugzrS9adw7oE/3On78i
gKlfJxwxLao6157Ogv5ovG2TCqogcXq2XE/tPOmNCmr5qP+HunNrjlPJ8v1XOTHPww5I7hFn5qGg
qlS6W5Ysyy+EZcvcIZM7fPrzwz0TY5XUqt7zdjqiO7pb3kZAkrnW+t8QgxBNXNbgHLOWecPdbxQL
xU5ZHlbjbEJdAMGe63b0r4fMa+ZdS0ZURfcuYlBbX8af82wQ4mzdPBEiwO7c4ADkf8mt2YWVl3vd
nQ/PyTigUCajJPXjl9YnXxOJCTVdnVr+IYG/ypbfed0X246WKWz6BkOXGu8D5tyKo25TKWu8jCDj
yZ1sK39vax5D/o4pf3U2tIKTIXEKwnbiqrqMDFFFRPX5ZF71bpvMt5nfqfi6cTo+Xrwnl+5SnwbF
F8igRFxgeZ4tZ/WADGPtn83iAPkjWkJFmFLLCyqbXw3plx3wmZZ/kabS54txwrjySSzOgmm9mKLi
YLZGg805JuPLFxGt1YFnQJonD3Hw3a3HjAKTDbiMCadgvpVGh/mZU3uJFTIBSjEjbJn7DJHizABE
SZODz1OivRxlTz4kSdnEzFgL3pqrNWVT9rdM5bP2U6lS8bCQWeVuIZ3gwabXbWwH6AB6+6bXNDzx
K6zIvAETTQK47vq4yncNo8FHEnGWH3GqR1c2Pl+0v7Z90aTx8mjZqxsqwv07klfqMzkTYYM/HWhO
53hnOeXSjRJpEwokGDKsosW9pJjjSkKSLggq6362TKf7kZduzPLBwn2vJ+RdgWMXL4ZsINos2E/z
Vc0Ia4pB3aWZzPyLsS+9C0cqpwm1fBzTNbcXy/M4miHlTOlZm8ltJ3zSnfJkcb9Nlh89tbrrP2iU
vqHbsRTcPFFQBmP7pUxJNN4gthVXw5x1ByIR9JvEMm33DB4vre2Ia0cB2Uk2hIFm3RmbgX1GW4VB
HqOS+lkmEuZb1o/atJt1HM0c7AO/m4uVnWnFxATAG310AdZ0bsPeCBxsPc/nBMFAPOXudeLjf4Wb
BaQ3DPKjPLQmG05qxCG5L4lB+gw/z9HBsVYtSYyu6spbrOmsYEL4XXRtEkAZzm/4gtBEuElBUekm
bf9jNH1cSOAbGoDeQ3bZrWSnAO0M2k8/TyEgxXS6u4HYiXxbE5t7szBvjTcpOuK9stEVbSxDDgQI
qaj8vNhF8gssm83OGOjYkhJyVsBIGTuPpkzQmgxJhw7Myq0tdW11PnbSbENkD6TwFH3NazVyQhjS
6DD7I1IJz+ufHByDQsRXzaVYlvhg1AXgmBE92h7DLUKhIpIJXaOubXSqY/M4j8YvL7VQYfbDA75A
M0dhnW9nJlqX4KfzzUSOzRRoVpPe1d342+ZwjcpxgfuaqLXPO+j3zM61/j4hDf77jCXdpQHF4pZh
6urBN6pqp9vkAU+2Ym34MRqkJoL3EvCr+TH1lYgOBWR4kyRiMmZdRzp16Je6Sp5Ls9XOAd5wzmsg
MWpZ2uyTZWw7+BHaGgIwZrhi0x0HOWG7pM6XlzBJiEbVdc/dsJ9aZ4JnBlpNo39r9fNM2IM91ldL
JP0DDXLxBcShDDt0egzZqgScPvJS4qlH37/Iqr7+NqVoujfjnNQPo/Tc63TJ5iecLcUWJj3hNQzo
HytDG5nodhypad0wsDBzPU12/cggC0vM4sLWOMnnShCmFOuiCUdN/iJzajizK9kV4UoRCv49GQkL
txCG4kLrMxftrU5seezuHNhpQ81GaPx5ljKUakUWB4U3Vidoq6+5ORgUeNj30Q/ASBAYaBxbaDTs
lzopb+y5mWKnhjptXyxRP/wYbQHeRu7ETTYKKsuPuS+vSVK/L4vZiQP1Szeo3H4z5/8g5lR9OtnL
3AFoV8R1bcoCgnRYMPNmSy09mgOs37wT1zR+6wn+4CLinoeOHT8tzFGgiqIff81jaVoHA0w84DiE
rHWamdU6OJTO5rWBQdQ1ZDGO/f0UdYC4BjU1ZAgvOwP0p+Mbcmfptsns6M9z0foDDRT2e4fKbSf5
aIvO1g6OxsQcvx8/q+1n4GZqaCydsl9ljvUr4LcHS8UmiIIZdGZ0P1wfy8hdjzk3KQCoCcszu6ir
TxljDdI8i8W8HgzZP3h0uShQOsraT3XjGNCA9F52ZwmBxz15vaSHEgASuSo0Oht4LqMxUs/+bK0M
Ek3m7KJ8dIzKfN2499MeBBV7PO2gRzNePt04KnzInWE52Gbl3E1mBnk5p1d4HqeRsy6ZPGawlFY7
U6O4DFRsmVaYxdpCWaiVEcmb0FIcQrF0wz54qT5gDNFW8wH5Lz3bZNtMPyD5yHMjdwjSoygzH6su
VVUo7Vp7KSsPE+ZqIntkD2KVPjlFJYi+yvBJ3VqRMf8oEGnogdZMPZJFUjf0bTZMEANUsjhhJ5lE
02jWE1sA0zHCYVHaqUNRdjKnm8kZHPtu01z4S84x4y0j0SuT10B4wShmzkMp/YZ+TMM5IC5bCHM1
YvxymzldPzBsIMpglxm5z/YNbQbjaDx+zy2j0P2dmublIP1Zn/a/P46/RTW9r+E3lP/3FV30Nw3y
Ry3xz4uT7j//NTbq/qW+/l6+tMd/1au/uf3P3z+OX+rwe/f91f+AdpR286f+pZnvXtq+6P6bjLn+
yX/1h//n5fffcj/Ll//4tx91X3Xr3xaTmvonqdSBOvrPiaiHpvhe/Tz+8/8goUI1XRVt6NowanAw
CLTg2v0XC9XQ/3Jwz/HQVK06MjgF/8NCtf9CLYGjJ5S51VdwFei0dd8l//FvtvGXJfA3XJV/K+2N
H/33jf8XIZNn9k8tmV5vdzYF+Gr9JAwIqDg/IXh8vfEYsdu22CKCHAjx5Bg2rApZiy2tqsZg1y1P
7XSvd/V/XI/ffPUtXGmPK7v2T95jLrxlIh5RBjiTx/DgooVWX8SCKkVUu84Zuj1eawx8TZvEoMSx
vyI/slBkAAhT68/nUNHuJlvm52nRG6T0iXyLLS7UuD/e4DvE1WMGJM/F5gBgJmVCEbWPjwHfr5el
yqATpG7zTfG1nQOH+bBPlDrB33/7BmChIrDUedFgwL/VG38cOEbfGjqkoYaRT6L2QKxsoxmnDf1V
/c2dYAh9fGdv3wC3hp0E0h/8/1C8vH4DqShSQOy6gUCCgHjOYOyj5KUFS/L5qh/hjaWmduqEe+cm
sZjgaoaBeQdiz9cXXXEW/JzTJqhMVwuI61rjmPKc3g44w6y1Xx/f45rf9oc/zLrMWFswnfmwOE1x
bnt9PeI74PakOUkiEAHRMaf58EB5SuFeI2//mqE9hOXSG9pnEwzdh/PbOJ9V4dk/XZ0zCcyOWfwm
pp6qtg5hV+42AZLI4N+mdKRRZjn3kJ7MH8lY6d9UCgSykWLxPmdlbaizj2/mvWfHAjHdtSBB6LEu
1T8WCHROo7ATqQKcq73LqmnyfdmCGZZxXm+rntnKx9fDxPbt00PYQHSdB8/NtcXREllsBwC24JRC
A0GkfZyRMe0p0d8Sew8egaFyisZV78n47qf44GB++hXQ0b+oVUzBqVulmV1bhI0yZVmIq4bKU8kB
MSf55YQbOfM2dR1ei8J58cUsFRn1vaVB+7OYlyZtGTO0zIXV7mXS5Ixu4szcNrNRfekbQQuCfTVD
ocQDzwti2rcrZAJ1u3UxcT6XZhN/Ivh8cDctw7uKKJkE2A/0BB6hN9fZ3dQv8ka2g/5decBZyIOK
BqKl36Tkoc+tf9ctdgUrtyPAYEs0Bur2gUhdbzNZnfrip5wg21rmCN2NOh0gO0EL2jCw9+E+ZJGy
z6xeaj8iysgv7GnEULDYEMHLpb3N+5b2QbmQp12lW5+WTB+z7YBf5VmLVMC+TKeyQMdNAtiGekXh
FNF4D1bjuwtBAhBfRojwGja/UbfmukJeChmY6zSCSjxZ5agVt0oka4DH3MJPBemZNQKpJmhIZUQ8
+CYuU7q1xGl0OxiQOZBhALFi3NbkYqitIROgtkqOyZVbueKhwUp2xktgQB1Z+yuyxlQb32EaF3zI
58L2rjSR4QqyMAp3weZjD/3RIEkRTu08bbZWxohj47du/zAKyfaZTIkG4gS956kdGQ5uBqkz5IL4
MNhbJpHNt1KHhxCkcd2ywU8EkCQDs8odvGFEQ6kwaIaXRMlrWXktT0JUmCG7ahx1hj2LZe1aE6Ih
cAlhX6AUblxshTRBOphHEXOt+J6/ULQOqx1ylpFyL/0+Yg5Wm/x3S68efSkXpmF+oz1BZIGZwQIn
c8OsepTOvkseXAfUS2qsnk2PjRwtHwIItp4bc9bHp3EAltg0fjZ9dyVGmJux6tRtYrezI7G4lx4z
RPC5ZGdZarmeE4T3W53cWoBJMk73Se8oErqgrAzBQCAwZfIcR2fOvMzOjtleC0mFmTF+7WlroImn
fd3mQ4frSBQlc7ztk3S8Ssci/0VwlAIqhJr5WDj2eEtUeE/6PHkNHvT2PL4WECBz2GPCG3e0cqQR
2p0qbiBtmw86IsV+O3tCHpLSZLwatzitlCjsINgiHstCBoXOMwq75T6Xls1GiY1KS75Flf50h55J
aWy03VPu9VEbJsVUdzvse0lodgjMcfD6UaBxLYL1Qx+vIzNvnhhep5kH2STOEv0XjxzOaddJIlWY
ThrrXIJKuzEHsho7Upr8cHGXpmaeZjqYgNmGdoFtpVGFoxXFZQjpb8HMKElt5nFDxVee2Kl1Sa75
gNdJX/UtaJaDbzFNFxkbfQySHZKfrpO9YWtjvK3A3cdN28n5OTMZT+M2odLbTvPIqej6Fvpx2pY6
MfNe7XwVGmAjkZVFU4UVGZRbt1DKClLiaH/2Rs8vGzHgua+6fP5UjtLV94N04iQYZXkmcaW8W79n
a+/MlXICdqbhSbOk/9gufEQbg1rV2PQzLA4wKn+oCI8s/RcfFfbC8amPF2oyCIFOvFlYcHoUdqnj
KCir2hj4NaVZQGmKCbbGEhUIi5h9E2CNUADLEKdxPrXVyG7gTFWOV33LZEF0Sw5BHHLcT7tbum8d
1UK9H4fW7g4Rn3RoxDq+UJ05+MSGoAxEMUGA2J1TpZUM4q6aiDMYskpsCshVWCOPkz4c4MNGN/DN
LWQ2zPeMwHYT6FeOvW7PRjJm+wTz8Y50idh8FMjS7+Uc6d3engU4L8Y/DFW7UeVbA4bhVyYgwtkk
zISZ0gpjIfgh6dUVsDR8i2pp85cE7uMVX6L8lgxz/cPJmLWHdgs5lB0fqSsGROVAGMSozRCP3ORG
9xSp4DpySQFMFds/CeNrMmA6Kb71eZPgBNP68ibrFFSQoVpdeQzN0K+MnjCBTUKBAxLt2K2Ju6k1
eb94nWN1NyJ+IK4LpU0X5qUFDabtYvEzw6mNTBzWDZOo0n1omc1+WxJXX2j4DGKbYNkSdF7TH3RB
0a2i5K7Mxq+41uURJ8hi3yxVA4+7km5ZM64EWATmmRGk8P+20CahmF5KxpJlgBDV/jF4Pt6+EToP
C+6aQ6xKKsXgBaM3UbuUAzjKwSvrxuYQ01Yugj5riF8AhcnsmRaiLIAp6iCRGvZXUbZUl5kz0vDS
QJB8AjoPoji4S7JsWlVp2l5YNYPhfIpmJueIRtFCRtHDTGXaBlOl6mzj2WbxyKEFj8QBY9lC0ihI
k5DR8uzkVZtsWaHz57LXFU+jbDi+Z2OQ8W5xwEugnxKMFPZd4Tf81KmRnZS5wgmqK0m9nCs3PTAB
IHYaeMh99twoNzkDRonNsgWDiBXXMDvn3YpLrHhEE7TFegtUjc0XZaHEDtPCRY2SJtAXAh8K45MW
o1oGZaiXr6azSL4nixhTDHBc81c5RIx9RSIZXGBBzXbaa0X1hC0+A868qL0fhh+TD4+7s/w2GL0q
MZGarTuLNFMg89TMyGDRGwwvooH8auXqLw4JRqGrU0DhjzNEv+KBiNRN54m+3xZlHT024EfJhuQJ
aYdjmUeXqdebP+G5dNuCkNBvZT/bN1HCRHSz5GZzW+SauNLqKQMbtIon19GmWy+Fi8dELwLkTye9
27LB5DtE9hwsupnskBHXaNEQJvlujeWMMiuoqXGt9S+1TJcn206se622RqiNOFTRRQJhbSu3Bzhu
Z9yqVVICUUXYDV1ZZmW1Z9liw8VajEwGPDj9qkYiPK/ygv5xoEj6PvV+axzgUOX3GGYJ9lUBGzwY
9WLeRlhWqEtlu9lXy44wivYVNnFCwaogGgyCMZ6XTN02GE7zYek5pKZGuriz1z3Veeitfybg0J1/
RT3GKZvSMOGPZYMitbbLBuPzUs+RGapyXh5VjeQlbCd7vs5q5TM6JfALVI8lRK48c+bmbrLAsEBp
avdejZKdWUytYzMhTKCrBa0Rt/6OEPduCukaou+9MJuf7djm98zVyC4qjB45gp7V7UOZ+LDlo7ax
v7Jo3fuEILpzzjlyQMmemrSQmR/OupSDJJxbeuq4jNzrVIXu6HXGRheqS3ZRJmW0zYhpROYFSpCc
64WHmqcFLtlrmUYMjiiE+EqOEQeigxqUOApyW5hNS5FcEuaCENK1kQagIpWE2ehN6gPRldmz8qYW
J6kGjneAVxfBGilQ04XFhAnDcPJn7nQ8vPwzqxUIPIRut5+7iH8Qb/VkfDDIXTrrdZCXTWtl5dNc
2+LOwonhpyz1+d5wuxnHvSzVJ2Lt0pzyC6LYTPOhR08EKpAazUFQqI1ZaCI+g5ZWfWrRR6Zh4ZZo
QTI9MW9UAjESFXqUwYYnJ74A5IrHh7RyVnwAMMAPugy5yUZQCJD8aPvabUPO6uotLqoDIiq2JFPT
8p8W4L0H/jjLT7MRCdKVyaw9lw3aNnhJg8cc07TTVSCTrWVaiXh9m8OJgpbuy+U206IGCKV15U8d
ehithyGiFE8XYFZC1Qagz9hxzph8tnvIiQzVOUnyYDBm56zuesIOnb4fbqc5oTqPhlbSsk6AthA6
2/lGc8ZhCGYR+9onzHfBRaMlgdDeDIvxYlEivqDJbzBE9YRDGl8MH5TtMSqrTWoRDxMCNyTjWZ2P
07a10CNsnaJgGOMC0Tw1jTubgT7oPNOIzfRFgVOGg9UbCj5AvlSh55aptq1LI3V2ztBDRI6riCmO
neOgH3Qir1hLTVTjJJ+DZjdRjjWvb7IzBxXz/CbAas69ylSbmzt3mCb2ASrCTQOgB9KDkiqnES9M
wlNmXf9kpdFsQyBWtRksXs+IB77DbIWjUt2VC3+zR+y2EnZzNBG5yXlPVc6f3kSNDY0o0szhxWEm
jIl/SboA1XDJK5yapTkjhwt7w6QxkRHaA9ab8IcH6DFeOV56TQ2HERO5/JBjakv+I43yQVUDCy4q
pHXXD9N47jM1ekSxQrxWz6dJtnunpm+REFAKKk8na0xRDzJekWLX2qpDOZBwVG8hR0wrARGdZUd0
3T1eHNqwmWrPAFeq+yXC+2SkA7KxT3MCjbqAqACmynfWXLGzgcEbtzG5pS+d0VHWqyjJkN6V5S/f
7NofuOJ70zUUZ/lEMnhPPYipdrLnNnFWrFUty089vMmvPUZ9bgCVFxTS842uCtLGNyio9JYvJ0Z7
nIP/wfwJK0L3VBi1cnlsu8aaLkQzMa1rs8m8JgzELgLdzNiJCxBtOCIz3dzEskevWLhWtG2peQ3O
t7LcjV6zipimJZugcM7NF20W/hDy8o0bgsDmHAPEZgiLvs3IUdQB8xiIOlaAZWvCjVd+cum3RGvB
anSw5eOvy6lNIEHf53bieGEJRe4HzCL/asqq7pKU8xEFl2qcJagzWTyNLsxW8GPtJfMUIuZZI73k
3Bzy0Q3GcsBTsaZyvVridU8ZowxJE3XS2qjgA1tsaDq9vVBu++S7VdGeYW+YHgDZpp++P5vzHmPI
noB2EKKYeB+DkYJv2vGz1Zs6L6zGkdGhOjKDSXmkMCO/GVHNQm+4EAobZ1rl1RPdyrsKHtmQE5XH
iejrIZNgLdt1pJaCVJMXRsFsIcTkK7ZDyI/lZaHFPO0kGdJrfJKsX1kzWy9tKpoLTH3c4YzijQ5u
wqTrC3p7+wH1MfuFE5VRhL9rld1AP1p8+OVt0QaVqpJD06U1PpiZY/1SeYvIzHK7KX7CU9uaQmyq
hRUObaOfM5uwPUIQY0TrRDFSOsL0mQ81bgag2K2DAcuQKWSHNfkTSCQwjAFdxOENacDipd4Wcp92
MeHMyF2RasTekw70yZrHcUkJJ390IslUaGM/ep2b+fJt6rrusk1n7ZuaSu1bgcWpF1hTLTjVZ78y
MfVUJlUBJyf8jFE26hyR3Bzv6Bjl96bqInf9/mcRyA5ZYNDLMvauLaPCDjbN3HmLio4QCuaj+s9u
8qxy0/lrm1zDVL4r2hZWT2EUsNDyxsge7G60vgKmudNKG7Je5nRc7pTloWf2C7QHdFMxOX51ZsAq
q4Fymb8oOhBYx7N2kbMJ83/ntfeAX1Dp71MoziS71xAL6Cb6FmmRwcUC9JpDfhjNwbv0SfPkiQ9J
cjAbwNPAsmBKUfr05rPrZDBjRG211YF0W3sIXbQA520O1ZvdtwYOq+rCZdAfTbpLYJRv+Dt3ZOQG
wJp1+77wHSh/2ICWYQPefc38GJVhYZVEhatuab9EbtvcqNRUbYAkNImYADmVtUMK6ELILEXzM50p
NDcLxR7p2pPefyoX6OWwMvP8K67DdKbp2PnmoeFj5oyphc74o5e5Ok+yllJyYzX0lxu7NWx4SRw2
Y8hPve5mXHHLFJEmJ1E3axyGVZ89CkI/faAKq4G8XEIIhpsPOY4liVh5bzDo+zXOmXeJTJyuk8+6
fOaImy5bA+VcuI4kEwqOESVepbLIDg3+YxsTjVyFVlfjdsm2FLlBSlbJrWqwp2U4ITx1zvwku6Ch
mNuNBi+bMKQWzsWlli4oiSH1QvvIYUh2pNYQTInmYPCN/PPEvVW7sdfWtDAXfLlDFxIq0+stDC6G
ZIQhIoZnzt++2/muSK4mJIr2gahStzpkNYFIG9N1oEok8booMyhON0WdTV//HZG/oVedxstlingr
B7Xcjcj2rv+9inKE2OXIIBzwkvBTDu2zpmBGsvt4aPwOqsBGbdqrZs5ebUZeD6nnPKLXUwzcpe7E
58uCP6IWF9mF4ZZMkeDmb3u3OWVj996c2mQsh8USUBiuea8vauKmJQ0+AeZ6lK79QFkC99HZo5x6
VgC0YetyQEW5W5wYkRvr7fwPXv8bX3BNd4Xr8RDCJ+NoJq9r0TpMyda9WqBciIuxYAjsSfsCW1rz
UpsEgwEnkxuYIv1FzShaD9TiyRDBvzzlfPXeYyAoHHsMCEs4wR+N6+22ZEjd8Bh0N5d3eTsVoUBE
Go4TxsfDOFzihkdGHjbAkDm64TBYTYHaGHfDPFnL1iGFRwc5Hq6pq27BZsQBEwVmvsDuf3+ZsG+Y
wDP2arx0/Nwc1bTRMtYKyIkY+5FR3KWmmX3YZm5+rUot+hxlTnsC8XrvbWGZYNm47RgQLNwVYfkD
QRmcNCb6lsD3Aq4rITMz+kzQ9mbfWCrbYrwYHQxBfmoBYhCm1SR2JrIE2lzbOoF/ruviaN0Qbm8h
BzEtXpdzZIej2V4LI5jI2mXqxXmqemM/p9702UHBe/3xF7lCXG8utQbSGS7YgbCOIDfRN47WWByH
FkPfCytHk6QSxOb/i6tgsQQ8teKXx7F7LWx3Q7k0hGaMLq3oau1zVefNCYz07b3Qr/jsKiSJrOjl
0efGiJlhPW45Qa+WeleZkQBABpsSf/v1ePgV8cRM13KEd5xugWcI9l9JVwfYShpnar2ROsbXruzm
9O9fyuG1+CsMy/v5bWf3x5q0KZpdPfEZvtCzXGh15B5Ekelb5C/qxAbxztNzV8tBTA51/m2uP//j
Ur5RTHiUUKRzGpob/F2zM+aI1YmrvP3KIDIY1KMWa82ConC04Ihf0ETRcBlS/aZthv4fj5LIe54G
CIo5mg/6xAh3z8RetvCJKDlkzdxFRM6Jlf/mLIJ+LgyCZ/jSPBP789f3G7tOo/U2akhtgHXvDeup
hMX3RTE1xESkBLOZsW+c+BDebMJcFAd/3+RfLpjfkRORO1KcpOsSrdYG1qSG3ERKE4HVxfgDQ7bb
D3rnhUUKsPHxJ/jegyfIB6qCjTkmwumj+yX2xrS1lPuF0YqBghH5QQZXiw64FJeNhgXhSJrNdeY0
4qIfSJ3zMhcwNBLTiTX93oNnjUGn4qEb+Iu+fvBGHxF9SrMV5GWKdC5F4EsozSZpQe2QwWjni+6d
sll8+9zhLWJnxrbApkoa5utrOjTbZqWYzHHUy/08wGhfOt0+x+jJDyIXLiPR6CSCDHF14o2/89xt
GLVwZmzePUFYRwu+izSQx8TBvQszr8AvG3nBAId2G6rpl6kjzp38qgo6Xp5sU6dptnFvlSEYdrz/
eAW8OVXYtcj9ghQEnwiK0dEvMmVeXjYlfvJ4YGIYUo0TvTRlejbi9PPxpd7sJVzKRPjEVSg27GMn
aJTUA4xCCv688vIzVRTR1jb1U5alb6/CKuJzItYJez7OldcvlQTFxMKUF06frjd7kZbp3aQp58Ry
ffvYHHYs9iqsWCFgHXOfOmOcvBgVYiAlfeSQlDnuHKs5wAD+//Fje/tlOGI98HH9E54Pbev1DUWZ
GpLe5FJak+j9dpSWtkNj4mzLjGBvf+kZlBVxm59I4Xr7cXAuUwJYhrDZC72jwgebDK2tVge91tXy
3WxrxJ8XuCUMxoinaycgSkI62zjdqd3wnRfIhdf0KgGLTaz8uT+PHKMY9cjr+jpwxTTdEwwN9dLU
87OPn+p7V1n9XtnzcNHjJl9fxY6mVjqyrAOrFN5VVbtfp0yTn/4XF3GN9S4gaoljB8OhpxTQ+4Lx
nJlbZ6OhCsSGtXdigRjvLEb8onCrhGtLnt5xL9ObUzMg+SNsAzHgtTkOoInURJcMkLRNC869MfyG
5PDWSj4hlSM3tu1zYhrtTIRJhtqhxL4Rs7MJ23t78L5//BDe+Djya1EY2AKKMjmt4jhwSwxTSiJk
VgeytH/paayeeqnunHGpL7BHys6Ldsb/DX082oTR7a8It6y2SCXHaydG5VJbE5igkY2PH/9e7y1w
HxtzljmiM0M/OnUbv58tgOQ6KKVR7uI6BbIZSCFF7ZOfL2rAlB/RnzH7Pz++7jtvy1qXxMrRBMTz
1p//UVIxXvOQrLIocofByhB5TEYiAMVRL0/tUkeBA/SarAjEsavDISb8UEJeXwvoctAWlUIcykvY
QpLQeljp5rYsoEV1aA2DIU796xpP9GvbJwOk8BftRN/22wz3VTfBL0GRQdYp1EEXYtjrX6Lw0WAw
eqkQjIoogHUptgWFx8bVSd4peO0HY578cwCL6bvUOvHN9KdfTecYFCDgIUpoyU3utdU2Ucq9hXO6
TKT0KOczgjfmYrLRMDzpJVG/Clc5BvSp7gHN6KcIqO8sGGjrguwMT+cIO35xIIWzLo2ek8Ww+hcb
ieZdxGBoa3eYFC9upGFEzDY8mUzuPl4y62s6eoK2a6w9DARI2zyuFrBV76QOVBCUXPl59CJ9r0N8
vaOM0O8UkpkTn8Y7m6NDUcixZsMbpDR9/cYqqESCjLMyKCAQ3lFl9zdzha7l47t650NweZ6IL2yP
4/p4X+CESTPDh1tU8WI/45uh2LHi9MbLUbB/fKk3nql8CJwnWHtzjjoQqY/WIEZaFjsMPt5NZ6CJ
wp+LCdvcXxikKAUJbn1oBnRjtU7lW0mF3Ddj+cVII2Q4Y3QhBvW3n7BrsOUwAPrdKx6H78lCkfYy
YCBiaUa2t1rKTAl58cSn93bdUDNAxaTtZRugXHn9Hn0RE8rENxTEBf70FTbd4dD441kFTfe6roAE
Pn7Mb98o1yPZhI3GhHj+O/j1j63N0nKdapPrWaLC8g13nx0Yc7Ra9J8yJH73Uu7qf0voN0v16NZS
wL5CTTipuH3foPKgPlpyD4tKxC0n1unbr4FrkD2A6S5NGsX60VPM4Wq4BStmKFIcJEvH2ieDoZ24
yrvvinw1lilFHqSe11fxjETPp5EbiqDO8Jrs5gIRiRfgfgHxxMmHEwXQuw/wj+utP//jXbmT0lMU
LNxV0y+flYPbEGzyDLVQeWqI8N6lTM46Dlpc03AMeH2pxm+jkYw+lqFsvI2FkX2AVLu5IFHKOtFY
vXcpDjqbSdkq/3LWp/zHXcVilBN2fgVkIGwJhy6PNuZUGtdY72nhx4v9KBNvPVzhwDM59mwXwAT3
/NfXKm18bwcUTMiqhPGsnJo+nXTvW0l+dLarkTUFfWn1D7nAkDJvUTyvY91bPLujILMlvqOVipD/
QzAH9e+kClFTGCc+ybeLd/0lWVQGtGzfNs3Xv6TeUTfKnk3WmXJSEo0o2sWApyc2mrePnVQpFA/o
aCmqneOmCzia0dHgFkTCyXKfRGVxUMrB1zC31YlLrU/19VmI2oVACgpqal4Gwa9vqMb+ukB+UMA8
Wqo8hCzgfpk8iDWzgQ3uRi9cIw4Gbz5Vxb79PtdMdW6RjFY69mOZHbE3y2xRTAeYCjrRporjFuTa
6M7Q41/w4Os7Xn57zlJfrsVgDRdz7tZ7jNLirSQcEctnd0gfJiO/1aEN3BtqXE686rcvgVGMQ62l
ryEWxvGTif1ukjp+g0GDPcNnTY/rq361Vk5i7dTA7u3DWONzWVNMIXkJ7lGTrcpcB7RJ86DQfP+b
ELm3GaBkIbjv5vpWzcl84mN7u4yJwmDgaRtskDpD8NdvPSNatVSSUUmtrPbBG835zmsWpzmxCa+/
9+vFRWFn/o7CYJG9CbiRaM5rL0cRbAIkni8Tjl4m5lwc00zaVxY2/JhhxC9VA3/c+AXkr483lXfu
k16fStliQEIDvP78j/0rJ2/WF+RdBJTR/tav+2ybJ1P8+eOrvLNSqCRdhk9Uk0S7rD//4yrskQ1s
uy4D0DWHu24ePjGZLb/aBUfNx1d6736QYHoGuh0Oaedoj5xVTJ6gNkBkxK1tF8lyeHZ1X95/fJV3
OmAmVwxQmR9S6An3aHkstUSQU+BJOWkNsb2i+22o5k2hS4BmmKJ03DptMYeWwI90KuZ+Oznjj85u
SaWDu4tHVQQRPsOYHY/lU3Xue4uKZbU2YB65PccZOtA0I4ou7I+xnWlvWvjAQZWD1y8t8k6AbItW
3ImqnXQK+OSMak8s6jfvgOfCqmFXRtfEmzjaMdkcm6gn93CTZUP+kGh+fkVofHniKm/bfEpr6iOm
EOskmYLz9aLKtbFoOZATXONsMTMYSpI98Sww0KsCzNrBRhDDMg8KqAH5elsmy3fLSDCZhGe+1dK+
2zZa4T4ksAvC38vjb0lP/zVd6f9vKSfrQv/n4lIoUsfq0vUf+Ie6VHh/cYwRgACus+KaayD9P8Sl
wvjLXadJlLpUDCtw9j/aUv+vVYvKKmakQNGzajD/W1vq/kXYo8mP1kVA+KX7d7SlR6uJWoVuzVuv
D9i7Jl4df9FCim7tD/Em1cX/Y+9MtuREsi36LzUnF2C0gzdx8C76kKKTJqxQhIK+xzDg69/GM+s9
RShLWjmvYVVKwt0Bs2v3nrPPubv0T81KDtEQhF4My+yfpUZZna+bxp5mirsX3YxWycU+0SARcn2k
P5E8q6o4u//hJ7z5czP4MZbk/dZ3+mAeLTY+GOUlp4IPH8yNMi1TEBNDTh/teUUuF8LQXvFBec2g
D2JJ+PUF37++6wVXXz+HKqAVjGlWE/CPi7Wlqy5lLs+IvSGAFoh1d9YJbXj49VXeNzcozKFwci3g
GZzbftZDAJBDz0R5HqbQtC6maBEDyNFUTyFUmPeVacb3sWzNm2ZWye9WDsE3+P9dd702xx6idmiK
rRlUHyf7kSc48rjwgcXi5F/jsi7O+qqB4s3wlkzPQlT7cnAUBiKoS1rvwfxdEgkOy9KdK9YW53oQ
lffl1z/Ihz3lz09F3Ua7he4gVdX6qX/YJN3Gin0RxVEYTULbEfXqHjAygOyoNFIHGn9JPmWTumYQ
3583s5tvEmYPgF9G/RGUJQ+g4d+iskMI2QmXkd5vPt66an/80ThmUwzzpnDAWP/7Dx/PW9yV1lhF
4UQOxW7IfRHqmdU9T7WcDu6cGxgktDrdOPQ09oaRISnqbELiJgf8fx8P57/+PB9fC+7h2isiGZCh
AZXhh1/LWYj4TlYBv40SFp0z2v1t0yXe1m107Smx/fmftXRO94emGIsQ0XQEIX18LzANFEwIyZf0
27rYIYogLyyvO/1z10EmT6BNBXGl1BsEEOaIWQ9ttrGB2SBQP9OiRMOrNv2ufHt/ODl9Jh7ltTS2
WRloN72/KXAD7dYsHKhHruPedkM0bbFajPDdo4muy9gHbgeN7dc//ccFQhg6x6E1h4h6EQnVhyfB
lI2QfpRmcHqiGKozsG+APPVvfu+/uQoAMvofnK3punx0tVcoQvwUqdZ2ynt+UGfInKCQovz06y/z
0y/IuMk1PUYFzICwtn8oGKuUZSKHIxrmBIpf1mZiHSsnKtBNUkbtF5k6+0wrnZtfX9V5X6Nx47gs
+x1fjS6PoEf4/sYNVuXbNESssC4XLTqQ76m9WcaUVLt6bpNdqQzGxDPSHnirWjd326iqce10izJV
4HlaV4cae+O4TlqGzzmZP8m+FsiDV9+wHfS2qTDMWnPzqcMfS0S6tUyfssyOL9YSHRpNZty2dLHs
bTMwrtgQ/N5fxIswpiCDgEwCUAlfK/HIVNpLvsy+1zOzvuJntAnzGZNpO1RA5VANjJhIQcmjXPd7
iVo3MYYHOLPOla6VqtqNiVmf8Zxk+LRcqlKYT9AJgjzNQSya0oWg56UF9FOjjU1yT2QzHgtzdODJ
Ylw7gDQqvL0wQBwG+TIWXwfbRngONr54mOCMRYGXa9qIHjIx0Lzr8AUDoSn3G27fDhxXqYPZg2TS
N370GdBp+1BYGTrJsqv6P6u+/4in+LsnieWIiTNvBwfHdcf7YYEs0ILTuTYBPZmQ9+q0iPbMpEHL
tchUBbiwq6TwfkceWl/wd6vy+hwxEiaxlH8LsND7iyoyH6SIcVWVonO2i1n627ZqmtAk2XDz62f2
b74fNQEXI1BunQ18eGT7nvwDBm9cireCYHQmfFGS5EEjGuuM53ze4Q8ogn9+UXDGjk4UK5X+TzP8
OB6jacmd0Kj94TKfJ1xibhHC5cI05VKfOEOnb399zb/5TWmvEbHKqI6pvviwqNYWYmIMb3zRNLV2
iBlxuqZetRNt7P6mKfrTLkZ7gYY5x5S1CUAh9P729RnMQ4PAmLB3SFJh1+qOepWmcPv95RKS4fSb
661F9sfnxWPyQUcQ7isl0IfnBXRmS5oObpjSwXvul57/Bs2n+JYmS3on89J8gn8g1V6vOwMjf4c6
V4/cqdnruS1cUrO8eu+suviQ90u/aWOM+FD8+/nYk80x/OaV+ps74a3zE4pEmrmo9d//PBEmVqJh
aiTgbeVfSLna4ptIh9vZ/04P9HeXoh7FQWLQZ0V9+f5S4zj2OPQwERkJDiSFN+KYaRqh7azKv7kJ
f3cP0JTyxq6iXEbU7y81Jyb0xzFzQ1zT0QU+mjUmQOhwlXoitNSAFFlYBGH946capReAEdQHzipB
eH/V2vdTiAYk20g3r2jykGjdYdPCgDiZ+19f6uenmhMEskS6DyTyofJ5f6lkWlx4oIT1AhaGcmVF
w7ZdoK9bGfNgMgCL30hH1o/+fhGk4YC2Asks1Bahf3ioo0TkJY4AJ6yd1t712jxc+Oywv3kY/+5b
IQe2uBKrO2O099+KSCutQYlsh6kz+1jAUrkXZSKvhOPXgZO3v+PQ8E/+/L1YGRyWP+6XSbX7/opF
Djm1MCsyhZxRI1E6naqB5r81+jt6z6STV6vbgy5+0pz1U7vEG+La8BFHPRzBjec1GXZ9crW2vecQ
tjc5DrisFLs7dhwR5YFCpx/U/UQZQSBSdMArMD5QtbfVhoiB4iWN6nmfpEK99WVaX8f4f81d60p2
7kIkSu5qxd4KHcEmKMfN2/QKA0/3dcp0yhY4u+UNkEo/JuOsL760GbigjaXHMsYG2cnvSb3qLLFJ
44VVwlTfopryK/DxqA4cqbP2nEOa/mIRCTwF3Pryvpeyvc+522950kdXiAKxP40jlErYaIOOLZhE
6DLIQRUnvEyGtcZcTfU3u7aG6Mx3C3v9EaP5BgkiMSdAy4to1+cpxrm5TLorCzwaMEhNuvjA8qXg
8Dek7rmQGGA2PnEM382hxYaZxE757DRDW24n3Lp3HBbGR5wyc4x/WhnxhSwEmcM+QRigejtCoPrG
I7yYCQV2oxHQxiOokKoh+k9wjsMUVBa7PG170I5ER+X7dHJtSqdJDARWadBysQIV5csy99onPL1Z
FtZttCI7VnTJBoecA/YeBy6hyP5ov6xuuDfHHBXfK09juetSFX8q5iIi+AX77zVy6+aB0m2ABxmR
jAgzeKk8cvtac9kgbYfrrnJNgN8ks2gCXAOcAzxOT3rnOEwrUpSQMveiAKUtj9LxhvvilPAEFATY
sWjn6mwg1IHU6sXzP/mIHv19Swf0XMeHR3wkRog5aHwf45Cf9nCbYXRG59zByQioPslxmHGCgY+I
NdIOubf8QdhHoC+zSMgr6eE+xejeuXeZXmkNHNTcW5OvyvpIdmHyatamn++zWkTHZVAwfPKsrY4p
eUVtMAo9vh2dxbzjQrC6p76rHxSBhp94rlMcmUkzfm9r5Dr7vJ74tGbJJrexvai9doBK/s6f8fNJ
gAJibVl7dA88vLfvX3LYOwbZmYZJWo6Oe4lA6pAt2LyUDmxMyo5yI3SlQjciCKQjHu7XS/UHocJ6
EEHeQaKvQWfO52j7oYtaAfxpzbI2w6bCXr8xyqUNu2J1oM8o5cvBbnbSamIKFA3WYN/5175Vu9cm
Nzz0bKkuGgPI/q8/1M978Wp+4FhLlUIlZn/YqgatJJqrNJyw9Thd4DXLbzQP9kpLJvztry/1U9+P
77/27/nyq/nA/Vhi+HktJKZBgVvQUcepHudwhiF1sU7Mz2dn6p8halVYvrF2Gx2WYg4gdTBDaeB1
jhLkADMLFQqy3a8/2M9FAnMZREwcf5Gp/zR2TAuQFUZWuaHe1VCfpSJ5DaGPtqu9ZthEuVM94I9R
219f9adkespC9hsuypqF+vPjJrdkjU6IjHLgIIzxVZOy4NMGbI5EfdDaQZizWwR7i6Pl7o2bDu6x
WHDpYnpP+69as5RPv/48jOs/7oE0jMEOMp0SxiorW3+nH05VGK0nzNGCLK9llGdWUiz2Lnc4Fm5a
EaFPx46dmvsOVcZVDI8nD8hoKD2s5joWS57h13GmZ4pslVTKKTd0numCcQBRsLalb9uO+jKI7Lxr
jhyZWesqEPJncUPIHdEZgMWCJhb2Qy51/WA6ORS6ymhJnyyBZh/MNUBvwy5ZEDyDtIh8J5NFEu+C
7TwmdlzBD5pnAyt7boqIl0mmV1AN4MSOJkT5Tenleo8gVHNemmpikRnKVk1H4RSEn7l2p+49HN4C
jvGqZmssBZWY+/AkYMwPgVCQp8KuLT0CA2wYPy8taY3FtiRezDsrCGFiX0s1z8A85U4IAK2dSF3z
2hZNf+8sahl2xiLaa8m6C0IY/Vu8s4jZW0JiFrq73qWVsJUmaoaD8kxtCQdbvwS74lQ3uCRAiEEb
Jb6vTvTioZUxvP4J+fueoTgNr6Tp+yps8cfCAk2BmAfTvDI2hGyHGyBL9mtWe5W2Z18syu/lOOvD
XbqwXN0vfmKbh3auEwJ/5g6biQAcIwH4Rv1xgWBwtSppx4vWzXyL6DpS7UNinWrrmKmh7fZzMuTp
zrXHzrhlTix3GlaDFim7p0ebCQkKaDD0oJhdiz65XsFHDkbNTN3p8YRH2EkYOHA34xXNIjsN32va
GG1o6pFu7jqh9y9JFKlbNur4BbYNacxLnhJnBngGZz2UOBMFKQE2CFPYKCts6l84T0qaV8RDZoQa
pG109MgxQcvcq5FeHTyUPeD2NNukoP8twleT4a7vnXXpn+Ziz4jb67eqKt27ulUuvhDSZnZNCusk
qF0B4UvvI4KNB22S+m6peEyBOuQNgTtoJK4zXFugtu2sJC0rGhK1qQB1w6ebezKN4Up7m7pLyzlc
ePuMXQdz8X6Ac1gS3KdsyjttbL4TFF0nh8ZqJBRd9CcSq2legCGXHd60tkjsi2zpfEKy0phUT79a
r+POWn+oyMIlm7OemdFZVu/smwhI/GZYcNSFPIRTczH1kQ7ysOIBZA6ifXNU5rrw10nHCLsFDcSh
xhP2FNuTIi7LJ0Y3jfxJD10DmN9Szc4XOcgZDK+MVhN+zjABei5Ih80wgapZT61EnsyzPrc8UtX0
VWk0EkNBatPToi3YMGKfJ23DQLnet920Vjax96TV2pRucDf7VYhAE3Da2PT6vYSKBPaNh+psAqr+
3XZ77TbuYYZsmiIdv4Fr7MhIdgv9S9762h1yZEBPVJVEqA4CPldKm4aMqpYYE+WMxZc885yn0fTl
nW1k+ZuC73DZwd0mzLxvgBqVVr/cEyAQfysG19U2Ul/1NYQiWXgnOqLrNrxnkmycCnDytmgNZp50
4No54GA9dBvPmeACRdHs2hvlTiAj10HT1rTwOofk8gLLE7IwrguKavhIYCnKPSRK8XUsk9wNiryd
z7xRAfqTNq7io6YRVLeVEGqYRCEZe4E8E6utyod8OndhKYy7hZPlTTS16mkqK8di3lx597mMASW0
rSFCsxhXgnKyxJfGGOH0MnIXgnpLhn0RNqo3MR5D4W+Zy8zCPrCxMMRWtQJ/grRQT4+NdFttm49l
elVWXavQWa6ecOEVnrHtnHgpw8pwotumqesHLBqoJ1Ifr/7WNMf+VWga65kXZ9o1Its8pqVfyTEY
+GFxSHcZyAVtyvUHNWg+QD3eym5PaIrPbTet5EGPTIGec8EbHtRTMxMSROhnqHTo5XDsiQa/dq2B
jFIPicy8X3w/fhNzmzsHVUvtkTvdtcwFBGTRNlGU2XZcYK1A5JeuCA/Df4JtOmzA4mUQY72M1kCB
+SLZ+rkkDjWq2LOIXSteU2PRgYVobv446HF722L2JUlGkiXRzikEBwhVlg350pqiAG5bkoa6NZCS
TnRnyaTLqycCys163JjUzU+R0S7fuoT0qENSV+yiwyjyKuRmyosJ0BQzJpxLBLrUcHm2EXMGQBWg
erxhrc5kLY2nskOzciC9xYmhwICaCrMoVRYYVS2iA1wyPPizQ/jfYfu/kPj9UC2tpOi/CNArivp/
/nXxnfjGDzDn01/5/3k7GhgHWeI6Haep9X/zdv0Pf21hrKznddpuUV9XNVENAJu9P3SPmpsBF/oN
RpG0JP49b7f/OMlEMQtYPvM/PJMf2M2/Yjn/qVb8sWljYcrCzsTVsd5wpQ8Hj3xyIZ/h7guZKFRv
RKX6X0hdhKZRx3KPijj+nlcjnQj6U94X1Le53HqznC51TKfWzgBb8eB0Sw6Dw1gpQnix42w7EzG6
z5ZmToIONR/rY5q7kN8YwvVsy0UBmIrx3RfyXm10O0gPnDOfSZ4RdBI73rYkXpFBgx3NEo6hXu8M
243MczEQ/RzkKll5WDahn6B8ppfJqjttX9oWx2i2GHZTkC+kKWmKMFosOFNKRKKdYtuu29TY0XLT
FSFQ1MoBgsXsicR6iBaWQ/7Tpp/briEaIxH2BnKkeC7SCc57NTn0DZba6ig/OZKfRYaYgU6o5Wb0
o+qtXxLtLE85i0VjO31yi6W7pZp1efl4a8mKEmbxXALukI8zy0KOukz3LweznK/QzFAfqsyaH+hT
2MnaylizW/K03BECb6wQlbGj1bq2m1rCUp7gCq5EXb9qnpnJUaIOUNpIgGMyMYQItMEoJaPWkbuZ
De4rlTWQtWVILMD0TWpfutKhQ9W2BTC8tOrkGxVy+hBbXGZbAE0AvIT1i5gxFYOiKgjovDQScLJn
REXE93NjddRXpVoex5TwE4JRExsQvtez1KcxdTHswT5+GICdxoSA1H6770aPppCLmZREVadWw1na
iwgk6an2r07nAAbXnAmi9XigTieFeMyMVyl9cSZOJwlldDEizDGXV33RJISUm3wdbq+wiQNQ0WTv
mvVoMp/WNpRPrHP5ac0zTuvf0Lt2HFandXFcl0j/tFpOp5WTHkwoT6spFLNSp9JfV1l9XXDlae0F
/s46PLptTBSz487fxLpQWx08L/puLN9Wo4N0NE6rujyt8MOfq70EZLeBncQuYK4bQnfaG5K0b2+t
dcPITnsHqI78VZ12lATQ8X152mcIImXPaU/7z9quoh/OpjSMTO0Ada171eyut76eVjq2OO1n6AC0
R+u0y42FjN90L1fznoEefVkys9L8ejrtjzXw9Das1m0zaVXpB4DL2E0ds0seotMemwFW6fZx17D3
ZoNYHoDDsCOnM9yDYJh7+hJa1yELSUrTTXZabskiKGkMD9TtCupORi5dAPUYsJHT+sNXMg/EI76n
LgqFsVgJJkoSWC6FlxPtZ4jcLff5kmflWV26lXWERYrEH+Z9me36IrO8oDQne9gXBI3BIKJ41A/K
NRZU5f3CfkZWu8kxrotab014X+wAYlUMGq5dz0MIdACz0OyaMPKYeInOJiOJ7ty55k3WFwha4C3T
8dZjNzbOUs0iyX3qJkt9Rl2bG1/TSljl1tWKekJJaExN2FITPyHJsWFmAY6iQOzgliGFzjoCZTwU
hV7QEJpJRdv03KDrlNDG6DZWJnUoIRT9GKJ18tWFnFNBqg+czQRokZ++Dc6UwAfNfU64FXRT7m2a
i35Pu0x/YEjnEyyfN9kL3A532CkyBFAJCSgR3yxttL529RK/jnIQrx2JPMU2qSThV6kcgTaNuGgf
oF4z8W5YR6jRDM3e49PJH6F1AoCzkxE4cOc58SPRZ317IQ1SIrdVYw+PFcScOZQWA23QjxMs8ZhT
ZrWxEX/kgVWbQ74FtODEt+ZcbpklNdW27ClmfHwTzKeVWJKA/qOUYePZiwkjORV3a7RgH0idAVyI
40JrN3U2Qiw3Cz0iD9mAlMZl+8fWKvpvgvI2Im297QFbRjVo6MiwSD2nJ1pzrrKl5yHciaSxdbFZ
pzu56AhxKKuzo6Zr7hs5RpMTpPQvybYfWcWPEUdNsbWVwXqVRknt8jjlI5NwqyV2yx8Fi0zTlJCC
4GLCfkscNRxIZvWI+UX/tUcnZXzr9IbwL6PJHD3sgPv2Z8kSDcshgSrpgwpshpe+A92xmYZ2udOQ
468He68/kDD8RQNXvbFK8hz3BT3tsyXq1Ddb1vG5XH1Um6zH67uxzTGQJIPcdZY3XCqiKt8kHjCP
EKVqPgxaMrB+comXBpPB26RNeg+HUHfZTFQxmoFBxhP0syIjxa0t4ukry7dLf4NH9MkeLEPdaZnh
fVo8Z3j0WqOvgzGd5A2+004RexmpxzzVOOpGltRZiLvc3ruYCsk/T+fiuMygC4JZT+Z617UO04/K
zSZJh2w2zRCVm0NTcxj3cGTsz7Uspjgsx7yOtgmVLE2kSqM9Tw/K/zI2ZQLczI+S57yXC6fiJtML
Tvd+ja0o8gwrGJtJWBuWI2hNBc/KeaR5CALnjAbgRVTpEMBmspAGgE3ddJ2QkBeDfTYmDpixTzSf
3lVjEtRGpLdBSqoEZGEtSQgIJ9PL+W9dTITK8fV/qIupFf+zCvUiHZ7l93eZKKe/8VdZ7PwBZwPR
mAvRBt/rKpn6S4ZKWQyVAjfUigYB+cZ/+XdZ7PxBmYpl0DDwmyGF/6EsFn+sJnngNejnT//cP6iK
T+ipH4tiw6cmFo7J2A+dLEOB991OK7ILVl27CV2XoC168qwxG72yzGcNRlaOWmicH6lCxjv6okDl
+igg69DNd0tKnPQWQaDbh7k9lOck8ZbNdulLhkI0czxta47wrreghUb/Bpnq3J9PE737sEN78PDD
D37z5wf+UbPKrPdD25amPEcPRBtwHlZt2ocv4vWAKBeC40Ns14l/WGJ4PsQ9J9Zy1qqOI68LAvcV
b7J/TgR2+z1ls3eCuFXIntgO4wLSZrq+a/ZCNupoNvH9UHbpjRNZJYhNXuTzCVFgFoL7Gz7phGDa
FEG+kx6h4Hr5rhUls0SN2IX4oLnO1B56c6D9o3SdnCpKzDjZzOj4niKp9DOYih3H2F5lyUZ0mTJv
fMiDD9bMII5MAB06ZrK0Hd2jeiheGi8px62KaaVAjIcVDfEXMPOmSwegbxmcesBypFbb24qRFFYr
oHgEN2sCOOmIEMSFnQikGY5l3NwkkMJXb2hOmEnvjl6z6+NIkdHETb5gl/VuHa9Iwbm5+Owh5oKU
DUYiDqEIl47RHxw/JvtNEp53UbEse2ecpqJmb/Qm25zjFs0rbMX2rF18+zzrCLVH7FZ1x4La/kvm
Zp3F7C0W/Ega/MmNRxfOBYPqL4e2k/EXe1HDDVl6Qu6KyUzHkG1jvEILyo5Cpga1C41hAkNRROsx
mjG0OhttXke85AVm12U6CqpXv1peo6HryPql3QGpEYceX6JQd3goRsB9IjG/x2abUdLl4JzB5mVX
RjJk5jUTOJOQRkcRW4+pKQ8Vn7gUMR023DkgrW1dQfYnrlR9cp2YxHMa4bPYTa3dX+tlSpvaUIuL
qx/6GTAd8k8uvN42jCCJaq8OvRI99c7oLPsBHL73kp5WYue0KmenFZoCnNXaOK3c5FqwijunFT09
re7+utCT28Kar53W/+W0F6AcYV+YTnsE/SS2i9PO4Z92Ef20o/AksrsUp53GGlXyDGKf/Qdlhf9l
dgZ2pcJaFjIuTrsVI0gVE71uW59NdjPztK9ppz3OnZTCNhQV7H0UHeyD+mlPTNftkeePnVKtm6Z2
2j+L015arNsqR3N2WGAs8sY/7bsaA+HHaN2MDTEt6k6AjXvKTrs1diT11WrHYtokmtZMm4YTnEnI
RuUkx/m05/t1QzjfWgjIU02wrOVB2dSet48Xr3ir7Hm45IBd3zGaDthiqS3GU51R8BKf62vxQXKI
c2afKhL6aLjeqFKGU72yJHN0N69FTE433SAwhNKmaHTiCAEr9Avv91r9mKdKqD9VRa5bGd9mSbW1
1/rWe/KlHEl8O1VTZGdQWfmnKquPJ3fLiJnaKzvVYYYdQW2VWuQKWoxrrUbqFHUbnQdquBgG6hsZ
X1R241rkeX/We5o7GNv+VAfqXUdNqJ3qw0Q3o2bTn+rGxY97asi1nDTtvH+0q5gaU6zlZjxWLVk5
pypUCpCO4Visjj92JPMOKg8v83yqX6slppZNiL0ASqA4EOaRWVfbCLh1hnYvvq2F0ZM8QJ2a04lY
q+SUGIx6C0mP6hlNU752+rvhMWdp9YPcTC3axZHkeKLZietshxTy3LnuluUWAJV/FvO/Odk7Uf6Y
cvhB5jcVI9ThqS3tTQP4+1PiQyQPDOII48BALo9PQp+blubHEGUbq0UszOQlimzopEKSYslYFUWv
Y6QAgimj411SprR6IOCU9c7hhLFgwxgtF5m5UaY7Wi7xVdot7XAAE0dutoTb4V2U9CqKDVhl9Wxy
erxDiWxhji1y59WUvjVt9REi94XDgl6+OijcEGmvUQweFbLJxQTdl6Iz/eVM01KYiH3mlFbYmNV8
zlnJK0Pl6dNz7uXGZToNhGGyMFsvGM7NdMNTPWzmyGfJqlOH1o/0B/OznzrDuWqL+T5Bu1vwkPfV
bd3X3rWb5OatCQTmjWOe+U2N1dTt8hw3AAkYa05u1PcE0vd+bvq8YTRTOGUMTrctWLhJy1RJfJ2V
LltFrWxyERyeLsIRYB9eMA/unznn5xyWANLXG09wrgu6phnmIB3c4Z4Edo5WE3KzNOhH154PEf1v
nX8qle3Ow1T8FfFBJgFiZwh5zSSHth0hLnlJsCGAQRs9Sbe+7vG24V6z7tDQ8KdJBxw90O+ziAOL
9+PGEZBUaWZrTr5p1ewByjYHKUBm2OBLYx4xIPCKAWkhQYxvRvh2+YXZ1f6N6obhbir1ZID2qqKb
uWsN1CMiKTg/tFX3F8Lmv03jf6E+/qFW+6lpfPlcDM8/xv+d/vyfpbFh/WG7aIihTP3VGP53acx/
MRBiojSmz0NZ5TGF/6s0Fg4dY1Og0MeGtVLNqM3/6hgL+w+SQledOx4BUDzC+ycdYy71vqY00WjQ
VXMAJa9mVUzm74tjUPmlFudMZG1mDimxc6ayQmlHAeD82zW0K52fByFujOJ5SW48eU/Q72Ay1puT
W11mewHtbcouSpoFff9ZMR6s+0NHY8MyDwTPwlI2tnFbBx3hltFy8IzbxRwCx35amktShIP10qq5
M6f9QHrweK41L2Rv+NrWmA/xvTPd6sXe7e5oxpajyzS8Og4xHNwGzyXn0ToK6/qwtMXeafZOBJ45
gdjI/8WgMKRu9UpgxvTU9JY5cPedgU/Y2Tmj3ZsmZpBpfbfqGwddGxiTz2OVhXnztih7E/lPWODR
7bTfjGi+HvT5qIliYwFhUvGhs8VlrtPQ1TqGL09e/g1hapACh3aRmpJIiF0HbXXEUuBviUyAlvxi
Ns1FbX9myAV24nkS9YPNxHWK1M6el34jVH0oowfCN3YGESdlnZxT3G9JjN8Zk3HU6pEfkeaQMe7q
GOiPRuq12zD5mkNjeptUuWctaNzbOaWeOOIk2Fj1Fxmf46zZ2Ew39RwUfXfFhhAIbLQR/VoVvawJ
GIxCUQYU+ndjefFoZvjPBoFKQye2Rimhan9bOztDnN5whL+TXgK0+2B38bbL873ez8HkPunpQrWC
67VRWw2gvLSHSzhAoLL3UZ1sAWH3kxH6FegIZHhjLK9JgCSPoA3WbnqO3EEmAnIflEZHbrtm3KKN
vhI66XI0G8yaIBjSqBF4KHCKhteCEHquipgAZh6d1Ar0czUmZ9hyGVKAuZVZOM7peaObHGk+i3Yz
Za80eIKWmOLKVaE1HEF7b7ruK7kYoUm8G0XUBiFBsMr7VSz2U8/zbRfEmMSBI1ZGtAnetD+u1sWa
6Gi/2lvKvXDID3JjIngiC75kul+862ZAjeFu43TVAxRnsfMwjl+apaHOviw4V0pShEiVDNcrxvZX
g8loXWUM/7+Ayedn4kkVxyx9ofzEeDWHI278lrfNI6ojbgnJ0DtccygQI8pEEHJ9K3aMdw5VwjEA
MRNHsGAxpjAlc6QSL+TXH6pSMSOs5rCo4mBI5h16wI2jyCRxTdgHN/TxA02HCPe5yafrMvqNwHc1
k/6oI/5zgbEBciLJx/P/0aYO2Mb0kyGVZI+8wfN2+/I+V9zLqNw5ijHoTSwYQUB/WjrvAhzvEe73
1hiTbbNMOy1S+xo96eQ0O/QxuzF2NrF1gxlsh4uNv0YT2PhWTZ8WekpQOL4ngNFS/o7B6QItrzWD
vK6BQnP0hS5hjud18mlpd7Wr0X9OkJwZjBvQQYqvM+ko5Ap5+oOv1eT+cetpK40e73hLdXPhWK8J
DfOs0s6d/rwtaW/2x4wMeJ85E6Fi+V5TdwUfgmC6gBkYpdh1n3yCHBvYf8Xw/kdXzEeB4U8/6gcR
s3TxydYWP+pS3OtDfmPVWUj20GaZ8k1ZfZ1Jtan0J1JiFm+PqWQ7kzf0ww73d92Iv9s44HzjJAas
s0Zsvt84qpHjGFk2eLoMDlgA3xkP5lMY9zdEcmfOt0Wg5yKrz90S0aV7wRr54hwr7alFMxbBg71m
qdDNBz294K3XZnoM57G3L3xMY+lGdw4NmXOa/I0Bbv1hfugFrT8cqm/Qku76yb2PUjyDJyZlzCnJ
6PuG8jqUuhMs7sWcL7/5fdZezM8XAnSNHXbFWH68Q7EspK5AT/CWwV3HUFzGgTftU+8Qt7+7lvvT
1zIoEoiTgQGK/+QnT8daU2tmhCSo1S48srLdCAxWrw7YcA8oX8LKovj3Sb3KxNOKJ8JNvicTm56/
zYAsV5cF2qChIkYtn7P7depq5MUuzlALF+WjHmthzD6frDWoXh6Kqv6ckbKnxEPCy4vq6lXr6II1
JCQW7TEd9UBfV3NJyGt8pfoXw0r3gz3fLEbYe+oSJdzZdG3pty0B3oKIp3i+7RJjw3w99J232abQ
Fn4Q82IyVNt4GYr2maQkJh5+1KCgEcdany6mgoQbRtDky21diOZm/FA4Hmtse2y6ONQS7UD8I32C
UruJ8/6sS/Ze7wY8FRxJp3AYrww0GnVPPAxpaIZBrULsZkuQTXSnF8fUQ6A8HFwOG2JmVW92Ku03
hgu5n5/B/TLG3U41j5r9sG7DLjMOe35MLGeVajOLXg5+Qqav9ZkMzSBNp82sXyp66NP8augXudeG
yAU5ldzNWYpG53X2yjO93NLhOpsleTZ4iIxXl59A6FuyB4nxfJY5XW332jU+ZeU1p26pH/Ph08jO
4YxIzLXHOB9D+irrDlDWj4P0EfvagY6JT5IN0JsXONxFxhGW9kVJIGDhyY1KENOIOXSSJnB4W4k/
ImTsLI+nsAcVrK+Hbub0Vn/RWjpf3UdlxsxhEUeoSXdkmezJnGH/TO3QGhWRTNaBSI9wBZNk9WHm
ywv0BAj9N4uUPFIvZst7Xxjni7GtDRH46SFhMMmZJIuMvTu/ZEkbMondCt6T9WQZs/fJLsBlWZCA
WlvJ1qI243JV4mz9DoniGHFgfciZaivnzOz3ldj3iY2RY2VuPRD8uh1le3CdG6a4LOVYwNlShVoz
KrKwoZDRqu6g/y9n59kbN5Ku7V/EA+YAvJ+aZCdJloMcvxAzDsw589efq+TBWTXFt3s9i8ViF95x
dRUrPOEO6Otkmek65hsj/kHH+d2U+kFGBTTpDmy9vYwvmvrFxtwSzU2v6sOjNumH0EA51gCsTPA4
R2cjcU5GbtHbNXegA6FcxOADgSy27xfV+JBpHwdjeND0focC01mpDkH40QYiXlPebIF7YnuXgNai
gIBj6/uUmdjS2yhQKAS8q/vv46QRfVGshIGpy+dB+GZRBxit/WgjW+QExDCJp9JMGk3iEdMnL35f
6GS81XhS8sBVq1+lfDS791Uz4GNF8QuZaqowo67s0PbYOeEXKhPs1cTLHKzsSvUUOW8J/0b7Jz4S
rh0R1zmutfBEKp9q+7HH3dBYjmTHd7nGI547PNTSkxF/7qcnCFgnyebrjNGHNFPxiaWWAd2mUR8D
WYJV3hz79rtU8r30LyM+GJGDTuw4nqMg/CBCyjFp/d4Rfcdhp0fDPqq+F+3nKq0AbvBmpI+6Ke+7
/qscRx913KMWJOrMOvSJ77T2KAUPreOH9qcBy5YFsFsc/lIrQk1jxmrGgm4E6xcDt2JPg2k3dzIu
LeQWuemOk8VWxTGP8wKmDqEiMGE7AB+W+oDR5K4dPoN22QlDa3R3QYEtPnBzt0CsZla/lPK5lfwK
JMUMHDMqTwUEDqSx95r6VjmmEY46uq9Gn2opOoctd2yZfnIoRI8gBe3Y8EUq0SvZo2WheFPPe61Y
DrVwaC06X5uL3dDruEllngTJB0DyTg7ax1qx3dCcjomD/qd50kBnTCbMYZNj3HwL0S1z8vrE18IK
6FOffFSKXwWxEm7MO8PMPKhtJ+oP9FI/tWB7FmyWkg/Z9AOPRmoU/XGi78EqSBJY5Hk5R7m5MyC+
yFHzTmrf1+lyClRiXmrCZqNj83qMcdGFnEWBosMQC/8mbfLt4gNPQ6vgvN1lT/J4FzXs0uw02He1
9Jcy0nvmp3Rl5ynSW9TBPLy/aPLNPtUmV8Kx3DbanW58B0Hr2grHVm48jd3ayRjZVj7wq11tSHs2
0j4iqg3x/Op5h1KBpmsyP4RlrVqfDUwl4bHZbYbYYHlO7B8KFW6uvD5Q7kjIDyFI2sjId7WLceRy
HpzjqBvglx4oUt0F3cdUPvZjthuaA3p+g/x1xAc77e5RfycFK06G/kgTHiHTdHzXSF48HEMZfO5Z
7+616QPwoDo4ZkQFtnJvoUevdrkLv/DY1rLXSj/b6UtA7kXs4xiZ16Yqd8FdlWKkbR7G+ttSfKrE
OHn2Jm+SbxJ1u8GovyHn4waImiafKCh5dorshoVJ1/TUWOF9PJNIsGkd/PUgnKN6Jrv99JhiA0uZ
zBX+iHNlvZHIv7sR4zI8PJuh/IaXczqonjTVdx0u1dmy18lhUwxypielPJXmmyH9OljfFDX7qCCT
pyu/sP2GZLSvktKbI22XTezTZR9FATV0EpNI9fBwAv+ULnuEjgMSoig+aT3tjcCnfw7pCqfU3Jtl
YydwtQWY6xn/O+fdwgdLlthFzMabdF5tturUQ/Ekda1Mev+I4vHIqJzRpttjk+ViPOtFyrnhMjUq
lEe046AAg9ffqRjoTDayEmZ6SJthP9nOrnKkzzVX/VgO+5n0Kqo+TC3UWHBOwMhgeN0rUOp5lTsJ
5tQIZtT6QnL/RrOpk9Qfg+mnJM1vWi0/SfroIvCwm9sUlWRjV3cVCdsJmyKqEnyYr5id7DrH8Qva
T0Y2uZ1cPDg5bnUTF3Hae0ZAOv80ap2bUwmeEOBoNfIVtjX4fEQBDFfM357Jj6KQ7hy0MblDUC08
YJD3FJc1t4l45FA/xuHO6YS3K6aQk+SbANMLFfisigGrm7M+MqT/hs2e5NwjrK7GDA0aCPVSPKhq
5ZtR5Gc8MRk+7kL+Cxc1fMABAcvHKE/OnUy1tJo9rJn9OSOSK++Ggse3BN2sE5yMQHYMN5enN6hK
eRF1lS74hXGX16oZaNYA4OtbSuGVSYtMg1UBN83UwBwth1CX8KLJ2frGIW+UnV1iS5sv9xoZvxQk
PwdhXz7YuzRH41Wrjnqb7XPZfhOJKEVrHyF1ftQq2Yv1IxrFe2izHihy15SrBz0svTLQSdpLL+0/
TUhoYTjnmwE7NdkJRqiZTG8ynF/tNH+ousc8JfzIGxQzyFqn4i81qd/0TXhSG2Qpc2qrAu+U9z9a
rszBzM79oJxCM9zb+ki6ivti/XaZY78F95SYy8khEBVGhRXkTjP/gWvhfhAA8UKh6PKtnaa9OrVI
oNTYqRteYPE65AoNBaJP1sg2cneQ9lzGnXynwSoBGbJDnW2vm19z+0PfAaeANmoXX9jNeoAQmnzQ
8xbEFxhDCT2OMPKy4BskKCLP/KjPpMolRkHlp0Zd8FXhe5cfl+IjSYFatXsZXpCewV0Z9k31V4hC
UzE8oK3xJWzSc68rd3XyBUx/noquyHAY5wcN4Waau9mjNDZvQKhBFawPsToeKMIZenYeCJ3yIn7/
nIz+UeWZEiD//n/in/leVnMTh1H3jBr4z//67+TDDj9LgQVu13/Vxd8MLPefXyeqwRf/wy86MBXv
+p/N/P4nLavfvyL8WYr/53/7h/+Akp/mClDy97IvOvG3YfV9AcHA5eRF1v6qLv3hezT+/HGJ2nj+
R/5BbVCAph8EOx+wsIp+M1nlb9SGAmpDyP8gAmTpJMsvwMym8z9UiQFnoLEio0ouoB7/lKYN4380
oWEjlAUw4vjD0vRlAo3OHT8AQTPY56AahCTgZX0Btm9UOCNsJBqjs9/BTXiXpQAx9IhLn0sh+KUm
pem3soFj3ItV2qhtMIUXufvvobkGEUdDLtiCnH45NNzU2oHqY6DzQ30oV/XqAdWf2LMrpbhhbLQ9
lMFXQBYTbIr48xdMPBnmg6IuBfHMqNdenk6LG9eIyEoDL831WekbsyKQAAgj+ptIOV4OpYRZ2mgt
s1LiSD+PUII9vdbnG947W58NDxwI/QBUUDZZ9RNo/IdJUJWGWy34AXfaHOzhoVXnvi9qYkQb80fI
wRpdtYQ65PUZir/7PzWX399NKJkSaiP8wba9nGFfq2aWJDWm01JHWA20sTgBmSz3VAwk0Ziz3GC0
+9+YsP9vMW7rEz6LmoLxV8EarXaLk43V2KCRQFswm91Qnie37uPiWDVpe4NYLD7RaoKo14qikglZ
ADXmywkiwx3PeBfqbq3OMPmaXtPQh4msdyZeqJ4usCQRyFjfsZvpIahazb++wBtbiI0j7gMEwnHH
Wn1c1LjAMWR83GFqkjsV9RjT5WN2xo1xLstZzx+SccCEUTZGLmbNTx3kfnJChJVcFH6WU9VphC62
2d5XRdR4TRnZx+vz2viEBGUmylEwdbm+1usKLynoEwvmIw3soxliHDvP5vzR6IgJ/sVQUEdouNkI
1KztijKEf7XKhrQ5jfV3rJetQ0gN5V0Em/XGSFubReiVOg6NRxwHVvsyAPnbNgYRmDbbFa0kYE6u
Ce3+wXbk9omm8mS7o1HBvEoD5b4eblotbBxHuOZQweF90LI0V7vFkgolkdTIcKNKlZ6coI9dy4rm
U93l08d+aG0PwdbsxqfcuH/YoRDdgR3SXl2r5ZfTXOFPzPqWMQk65F1AYmAX9+E0QuqopP7QNw7s
gj5ufv35l9Uo9ypw3nlT1dX9mguAbQf7xFULBB8wdzfIbVNc0+Er3ir4btwD1HvRxZQF02i9X4Hz
cocqtJ06ZFI8CGbJaTIn5e+qHcyHHAT62wFNZ0LqSsfp/Y+nye2jAeUURjC2ttpWqDcloVwZOoYP
SQZAKE68VnFSP1bgsl4famWw9XwPACh9NvwzUOJa33ctsokwSRgrbGyawjV1e6lYeghEwLLkObvP
AnjqY4uNiJaXUJIS64ckU3C58TvE+V/du7TIedEQKLYNlAMu710EjhBEifgdkUYCFgXRR5RGHD+O
QqqaFYl7Qr3A1Z3kG6iYeg+X4ef1X7BxIYqOhQNWwKLML4Kul2FC14NQkiNdd9uiqwn6jfROS3ua
YPpU0EGltHV9vI0LEf6YjrGSCBBhvF2OV+EIPegGFMOunOq9HFfoUkIsIveXbinybFxTAtZKpIBK
LQHfamoL5CbZCHLdzRBbgXo9UJ7XlXn8ADKrOQW5YR5rC7K0VY3ZIxZJxp/vZx2JDpgsfGIH5dLL
qWIYJ6OylbHHDAjAvS6ZFK1RUpEgNh+ur+rGVG0USTSwzTJ6j8bqhgA7NBQyzHkXUW/5cda1GAWS
oRJApHafhTqdIkMO/VTv7F2VRrV/ffiN1/vl8ObqlasavGdLRIp4ssWWDSlo17g23bibLrfqc6SO
v41CLCR8LdHav1xP2Zyx0IYy6BdwoHeampufqWNqXunIgY/ERnpDOHNzPFQZeWGEhqq8Gq/K4L/g
XU21omhaz2laOEJVwecc47+cyA5vTO/yGz5Pz0ZjDFlAy4Lsaa8eNRx7Ajmx0LmWoa3vEjUN98ui
/pVWOqpHg6zc4dRQembfU34izr5xI14+qf+MzuuGYipSLqQol4sLRlNu40zv/MBQOm6jWduhH9ie
e5kma4xMkt8Yrfb2+r7ZGlQkiexcepnWs/zdixxF6UNpVpUEgrOS5KesGDNfbvXEd+Ql/QXbNH1n
Lf1447NevuPPM3VQtBLYJ3qajg4A6+WNFyQZLKS0auh9IaUEG9M4xhV8DrleIFx1VomSf6jSUFoq
7cYib+woVEQNoX5Gq5gk8HLoPiC9zylT+nkXRm4nSeF9B9WMnqal+Gq9yKfr67s1VcSIRDzIhBGJ
uRzPApOdqOoI40iG+DbFoXW2DBy7q8k077MyqxO3wwAIkapOvXHPb04VlVbyNeLR12JoFIGsIOLT
ztaY3FlFbeyirps+9fwIP5npNl2fquB0vHhJf39WpJG44DCT49JfXYEylnbIedOQqirN2Re5iVaq
GS04aBtL9REKE3S/CmkhBEB0J/oZFbbzVuCHTxqG28BCUIC49ZPEmfnP4/77J1EVocogmCbUPC6X
P5WmLMavvPGtfPzI+bL3TkidIUyMzu0cFSmxRjXvwfNrvi03E7f1qFHdo4tzfW0u39zfvwNUHLZL
vA8ier38HVac476S6S2cYZ1KPFYl53QMbU+B+XbjcIkdtZ4yzBoqO5inE1Ss7kzJKeRoHJLOz0PL
edBHtTwMQdV9uT6hrc0lBFk0USYSacjlhGBwokhmlh1NWiX31NjJ9pk8Kx/l3uy9SS6SPwtNf68g
ZSwcjlXdNqgCXA7YBVFtxXLd+Qi7FYIsOJ0BP46nUUuiw5/PDToA/7KRymczXw5Va2EBWpePhYFV
7VeyVRyXokOMJaTpHgKp318fb2tzYFGKoBjTA7Ip7pAXd3DbzPkIo7P162aAmWIBTKhMB46giuTg
9aHEX7XeHER9iKXr8Mspo1wOpU8y1ZMo6vyuNFWvNZbiqWzt9BGKOdrcxOtuomQwfboJsOf1oZ+L
eq/GJjoi7+fftrw6ixD+LXM249a3c9M+tc6i+/hO9jCjh26vSlL/FM9t8H0G7HdEtcqRj0AT072Q
M6VnF2TBY4c2kJtPoWXfYTGUwyaXouCkKx2s+8ya7RsnaSMcIAkzDDQhoJZRFL1crEBtgxrpEaEk
BKLdsUGlaLLy1imK6BFtw/5RjtEdiNsZpdticm7dXa+vU4BXFLxAxiB4/SxH8XJbZEYyU8iErAoU
HjhHhFaPP9QoUnswUkz4OEtL4V1C8/WvqqH+j9hj10KGTeyDkxXNx8RYtE/Xv+HrFeHxJO8WET3h
wlqCQq+qeuistPKxY+n2VtTb6LZb3XkxRvVbLc8aVlqZ/S5v2vndXMXm1+vDv9694u3GQAlAMwXs
ZzPNFwdlADM/wi2l4GFYtWvUqeOyQtoB9r90rsvSPi4ZSoyA4m6Jy618OsX1gzArtze2UkCwiNAu
98JCHcXSAdr4rAzwNaNdDjxYsnaoq7D6ZUmLeWrNMbybADFFvjaY6qMSy+PH6wvw+qbA0gIUGGq7
Br5Aa0OzCOjXUhaojGlSZXl6piK7OUEbgxs/n/7NUFyhONCxhutLiVNcll3AUOmid3/j82n4QdvA
QuE0mjcO2tZ3xQKVsJuGAKKCq4M2pkglJ9pQ+UBNoTkkwQieWOuAOM6BvXynO2ihrTBZExGa09y6
mLY2Nc+lMInGAZeY8PLTTknezqkTwbBPIzAAZmS7sUwbPdDw80zVQIJDI0vH1JaiO71Q7q+v8+uH
FBFJkg3qLc+P6SoySAKjtjo1q/ykt4s3YTWMhEeRqd4thlwelSz987BQAAlp5rDS9CbWieoAeQWR
YcTKUPkIjwjAYk7doqnpdta03CEMgufR9Sm+zjEY0ZFtS9ykQDNXnzfQKgsheSf3B4pLXs+D/TBD
zaFO1wZ3SUUBeHDS9MajunVicSLjmYP7IIzGV88NTP7EVqEC+laHLwHGACnGr224n9AMfycZvXWu
nSFTvDEcWjBpXfoGQ6Txx/WpbxxYXjqoi5RqaQKtazutrRYOVh4lHLYBap0y5AfNmvK9ajTNjbth
YyPxPtMBordG6fBZt/PF5bjIqPrIEjpZCK+EP1vVKc4Fgr87rQNJY6C1X9/4rFsrLGJM8hpR40G1
+fLgtBlA6tkuwOxX6mB4Ut0FSJwG6VNgSAHIpUwfvtXcpRXqc7l+aA0TATctDG4qwm6ssiaqTPiM
ULiEPnP5Q/iTQcrQDfK5u50JDFtDD2zSwXehMBJ51z/pxm5mqhDiwUZT61+b4i62NgCaGmo/nTvj
oc9z7e1ijsYR7el3XP7gEaVYvhELiBNyGTrRxUX+ycK4izqatYq2DUNSxnhmgmFaK2/HwQg8bu78
+/WZbVzDlHUYQ6Tl1LjFn7/YQeAypdiYjQpUXqO5c6el5yCNwXlbhGOoZ/JnkLX7rAJ9GCX/YvsS
/nJD0H1CKmY1RfTPGuSJLOJtDWONHIEXd4iwMnALfVIOZlQuf2rPwJNOFCE6mdTa2cHr6XaDVTZI
ovq2BZS76pA6tiNr/JpVwQ+5HQSFfJBU//oab2xVjiYwdYxaqO2vneCzQV7kfKb8V1nxdMpTx37T
jUvxvtIN+8v1oTYuBHYneHFN7FPW9vJzahW6P6jOEj9qBaYTdYrPW5BLd0psIxRqlsWNiGHjHUUl
AuqaorO09ronxbeyEuQDWh+V18rFqEF7SzI64x2iRabXISd13yhNyUMjXHeWebZu1LK2f4BNVkPJ
kH20mrAxWBEPGT8Ah4DiW4Mnzb1ak8fgz5Dfo0QPXWqykXwvrPJL0qif/3y58aGi+EETlUBlNXrS
Z4k89m0LH4IWURfYNQTZirb0MKjTmQs/P1wf8HW9RfQ18fcUQAb+y1oIGxkI3HwNSBUgwqxjDAvY
DVGo8GRpeiqSQoMr1k/uvEjSbpLy5NPcS7GbTA6CSJI93CBfvLqi+DH0dBGwlXWgJesCtJyONRTi
zvHieuwemikxvNkO9P31OW+NQprINYjqAxnz6qYPnLSY09G0PQ3ltn3SJUDjh+ZWb+rVIYWZyTtK
r5TGAUzN1SgQwmV1CVHDgcuWu/nc5CelMcZdGaH7cH1Cr4cSNjS4QuHGIFZude1VocXVhpmLh+x/
8XXkZHy0Z4gMYx3/o2/zX2IZSGGooBu4IT9H2jDDV3GuM+UdJbcZ3fQgXJBeFY6OOy0JwWwjBjwn
N246sd8v3iyGo+0jeqbQVuhTX14/RmPbI0KWmofY/t8S6tgoN83VvhksGiD5KN1YyFeHn5Honols
nRIKN9DlcEo6h9piTchr4bGDXJ5Zv0G3o3uURzD5MvofZ4A/eeQFbbQch6aR9FvHUYywmjDQFIuL
Gmkbolyxd188nxYOuEas96o3cMG2IJQDc3atYNI/R4IODvix0T4jHaXTCcvrIQUMlCC+NUwKJFUt
bQCJXt9b4gF79YNIqZCOAgJG+fHyB41VvaRKlqPUjkjyN7uCGNFAsH2rhtl7hIaXD6BIYNVNyi0/
041PTyiqUAGGa0SRUHyrFyuRt2YrdTV9qKyM5/OYaQjTozhzl5j49MHjNG/cPate8vPWpipBaYK+
Cdqd60jU6Retn1BL9CijUTBpFNAybg4rIIf2AQR01xoV6SWUXOQD4T/A86GNlEmujHDer0FWqe5d
X/uNcy1o4TqYASolRIuXS4B2pJoX3NAeopHJqcQEw63kGcNgjtuNoV7H4QJOwzPPZxbOBOvvrKoF
iouyPXsa3TkoJhFsgzLF33pAZD93KOcNEvrDyzLOoD3h7gRz294oLG58cqJTh0xHoLNefYFBkgtr
KKAaIQ1an8pAyRBK1mO/qkmsRzQvbtwuG8edSiIte6SpBLt9tb5xm43oaeOaounQYy0jqh8UqZbO
iGlIP5VW02pfl5z6HUCRaYQrPEj6jWXfmDGgBRHuUJGmPLcqpaLSSzV1YZNTE0vPqoxCxhSgO11M
6vJzLJ0yvrHEG8cZPVkq0khuYfOwPlVjrqazEwQKYF95jCBxadFZy6XUcCXTgNlGI8iuIUZBDAYe
h0zTjQlvLDmpBy+ITIzDlMXve3Gqo8QAJWBHGNXYS7KXswVmxdxk6JObfQWv3rCaD1mlBuh9Doub
zdG/eCsJMKBAkh4AK1gvgA6NG2RiA6R5hIef9Ap6BEoI9QRrHe/68d2IrbAwpxgEZoxwUlvHklM4
YCaE1r439QV8w7RaNH9k79/bURPskJm2vraF1qBlI9nHNHMynRhLMd7MjdV4o9FFNxybXn98njQY
uaAQDaKF5zvgxeLPlPkUFG8Mz9DD6iGMYQMR0WJlMywZJrptBTWyGQ7Upm8txeuQi8oU5V4ecrpo
v2WJX4yMmuVkTM5keFOrx2gvGMNZ4kjewMq+Pk2EQAJ2LHYXWhXq5eaKZ1rbFdaSHsdK/WCHtXpI
6ggvLK3WvTTlArmxm19f0AxHyKoI3I2BPenlgFLUgnbWQtMblhTWAzpcvoboKqSHpdpf30ybQ4nY
CyiKiVv46q4as95G0xR1cx5jWGm9zblpI5wnJzhg14faXEaiDy4kPMWJKy9nhd9sLCGWanhlqt1P
mDLsYy3T/MEOBiz5kvjGcFu7ktgOKDDNMlE1uBxOVqVxMRWyO3WuqycAwdmeo1u5HTpY76tFinAu
0oJDaaKD8C8malHr4mji+bLGHy50UwvoYaxprMDErbQU0GUkPxRdC/8klW51YzYXln4M1jIa9VoB
p395+Sloa80hdTCkLpLxaJlj/uSEBnldFhQnM66aH9fn9/qypbAmDjuoHsQ0hcP3y/GSPIwzJWW8
0WQB1RCaWzQbzf245Po+dFKhRVKZrt046alTjFt51tZ0aXxS5uK+p0ayOo54TOQazlx82Gp2jghR
QazUUS3SOkc/L1N4qz8ujsBlqKrTYkP91jQEYGvdAcCzOtVDjL+8NEiah4we9gepNTVixw4J4raD
sWmGt+LjzUFJ5eA5oEpOyeJyjbXFoSpsl7jgcbWdnRByU5QQPFX2HBxnaagPY9Wp+z//sBZpJTk7
md9vzZ4X16kyJZpTjwUGlljFNlBB42bfgknBLCkazF+pHOaDYHWnghheyDu9saKn6z9h6+MCAKRU
yivKW74Kz9EJwUUkwndVDjrjXE7a4C+KFHiVtHReD8/o8OfjUYciK+MZoRi+uiWcyc6ynNKiJ6na
/F3OE2UP2rP8CrGwhhmNV9zf1wfcuHApe4ETEDUCrMJWhzXN5KrMew0GdAsJvY/meG8Q8vqh1X+/
PtLGUlIqAK7LOdF4SFb3bdKleaaUeERWwKyRP/yrRDLMj+MEu5EagfY/Hg3MNYhrohLhu6ldbtgy
zSSofLLlyVjY7nqNkoTVQ8yu06mBlB8NN4KO17PjBoIiA05f1A2c1XhNHcAFRpTen2Yl21s80JC2
JdRVkmR0p2AYbgQBz3jQy2vABK1Dh5fYnlRm7UtZZYO9aDLJQoMrEHYBWKXYKLK+y8dBfiMvmv4t
z6rhbRQl4SmuegQAA8uJ9shWjve0ImQaDQUcdrSHPxPAku9eX3/xNdc/j+xGhzZFIM6XuFx/R5Po
iRcYSJpqZh45mbgDztl4uj7K1qpzUnTufh5y4v3LUdoS/5somQMvTsbyULVlfLJwMsotpz11Undj
B7++BGnJ8cBgdYpfLG2Uy9E0en9Ejm3gpVM7oGYiCR0OLLTksJj2kYFeD1ytWzjS1weUkhBxA1+Z
B47TczmoriVtEmFu4OtyJrvKkke484RYB0N48a6v5sb8dKJmQhSQcKLQdjlUOTiLYldCeiGLpnMX
WtZON+vSXzIkddJRru+W0rn1smzMzyA35PqBHCEAwZeDJlM00XXDZT6ZDbAtMmpb4Wj1H/Ku6270
j7eGordoqc+MPXudhmJmFkYoWkYU1BXtVxWYyEKacAU4Cogm3LjJtw6owQsNGIVMkP+yOgFkfuY4
jkXsW8VU/oS13DyO44KbwECP6iDnOJyHpo5a0GSrzXcEb0u/LcKygIU6g1XoeGqcUe8/zuEYPdTg
a/zrX/s54lwdUYNiCCBaTqlMqfNy5css04JwkjDnGGZM5hpFi8+xWknQhg0ZsbIxw38OV523y6hW
b1BQjR9aHX2vum7Vh1or50cnQURNk8CkTjKmB4hCNf2jitXjV9VAQX5H1EAvs4abe/2nr3WfqM9y
7xGJEBXwdKnPOkAvIoNKB9WTYzfm93LxocSl4qTUyCBDk4rcwgICFOVtd0j7SkUTJO0OEo8q5ITe
fpMVauiDGalurOarm4i7Di4hvUA66fznKkASGDEUixcdhxHE6cMibQfERKggpk6rvTdkZL6ur8HW
gBwXHgAaV6Kwc/n1gq4opX6SdGRPFf2I7592rnp18ixUiU7VEN3az68OD1w3hgGfS/HM5L69HM+q
l1438HN19Xgc9zV0FeAJ4BGWEbGP61N7lSqJhp8YBTqCBgJutZYEvVIyIETqDmNtoFxNleiXosAs
pDDa07NHeMLJpdErSqe9MfTGLHEuIosg4QUPuo6/JJKxNq9q3Z2k3vahaWWeRt/a1fW+f399lq/S
Fkbg/FEGtER/fN3F1bqkoRQF4cKMx8VHwcKiQoEeU5VbC7o5Y+tl+Vy+j5Aexk0svwUsf10IZnxL
YE0I6i36RKsNhBNXDW4oYXwoPR4ueb1grA/JsbLMREaxCs9lj3MUtPtYGZUnp4XXjtpifQzTYHSv
L4YY7OIuEj8GUA+USgobtLUvd1cFCkKxQtgvoeoIH3b0LYq2aP/8kAperG0h9Um1ec3ZkutoUAOr
xP+tD4c9gjoYPAFaRIVgQG6t1G6lhpuzIlcTon/sqTURd4YgYk3AmF2NjsJpRJH5vkfm+sbavXq2
xdqRNAiQGzfiOvRUxhyYyNjq+D1owQ+tJOjSYrP4G9PnRHIBy+tvZxBHNwjOG/cP8FsyfCoLcNT1
VWaUEPwp+mxpbqx05pdWLXDgMMwKj0gdeV2/05pbtaHtETks1PYoZq9hdo1aD+iewNuphwU5Dx0N
FnzpEJTTFhDqCVqef7onNZ5FcjHh20Dta/U+4v+DMnbBeGqvSgcjsbsT7Ubjxj3++usxCs1wkCoO
cdeaSIMlSBhRnoYMtYTpo9rYia81zvxmRP0a4OYsOcmulFvjBo7w9WISdGlkR5wELiBzNTmyIM50
z1HQoRMe+6BJjro82phCB/KdYeMBen0xX9/pjKdTocEQmYdb+F+8LNLQdc+dqnUATXd64esWAra9
o1q+o0xESBhdeaWB8k2ZYyl4feSNi46hIZUgsGlb4PVWd8uMigpWCeC1Ddw7vbAbLXfqDNVvWguN
HTDJu1AZmn3eT6Nn4Ma0l0xJey8bYHev/5LXj4smPPEIdSF+EGWvbtwOVzV8abjkJGVAU62uI1dW
OutsGvOtqHrr87KvKMsT3SHgsBqqjUNEYgNUI8K+Mzyr0ia3UWbpiAEJhl5tN96IdjfHM1hbwTgW
ienl520zTRnBjLKd2Fh+KOUsYG9m9z1fFYZsO99If7eWEuAIJ1NYWBMCXY7XmxivGx0iDqmNRJQi
oyU7R/bg94p6qzn/+hLXRGoCDJ/4hxbHaqi4lVIc6RkKDakeiypEdLQCWbvre2NrAcEuUEAkpKU6
vDof4TiHUVA3hjvC8cUnPjMx2J0DF1vfv60BD8Hrw23dOgCQwFfRIGIRxc95EUAHND3VyhKSbW2L
C++UKIcsLSTYno3Qz8NGpFUK88YmeR3xUMZjbpwCIdwtxMRfDqpUM81fC20elOVBR2MP3L+d5qk/
ymjPY0ZRTs1bzHTxRkml6oxH6vTl+qzFp7qMMvgBkBM4gjbU7TWDDzWX2UnBgCHINCMAJPeQ4vs6
PiiS4zyR76LtJhWOJ5nV+O76yFufl1otAQ7PJeJpq8+rTW1RmiPrbWdVvW/1rt5hsRwfnBB/x77V
Bu/6eM8s+/VUafki46DYvGL2KpcvMkNOTTnkQLaoDu5U/MJhS4a9/WO0SXzRRsxUPOOkwMw9UwsN
7AHzuHgjT0P5RQmKBOXsvKqQD8QLLfQxokU9O4q7dtxNfTkMOyfKxtG1QeZ9bmNT+ZVRdO4QAVPz
9gjiP21hKArZdBK55KdmdXgdmBM2NPQAgHAYyYJYHNaG1Q14w8YWE9wgMG3cC4Rdq33dlRH96wWC
eD3BD4pSExlSJ+t8oZLkRjXScLNjIrhNtQ7xPTzUbyy7WNbVsgPpo2KDVg+Ha32MHa11KiOwMcdd
5PjrrOkdfR2zkb+PmYL7UJ80/YdOAZSKfp9w5cljTX2qldlEw62L9S8lrp20yaOmNg4pltNvDVwU
gp1KeXvaxWNP4A2aK092Ia0XuEdRPt4KSDauVlrDYJ6exQ1IDS5PaTIvuRE1BHaWpE+e4szZh3HC
14iEfPavL9fWUAYdY1AJ9PzA3VwOpWV9VSkcSPYNsEs+Ha0apV14NbLuRn1248IT3KD/G2r1IBa6
uO1iZmUYvXI3qFX2ZRGp0Y4sEEdQEK3TcTLKZX99hpvDYnwACYU6BfHd5Qx1PUROJWaGdm0O6HDr
rS6Ykz3qYHLVV18cJ5b8QG/sG+NurCzdUwpdVJ+INl6xX+y2mCJ+jys3Wn5M8YUHtWvX94Eqf78+
w82RBNuQuE6gGlcXTZaXLT7UKRlzZBUAglEMdfS6QVLfMutv18faeIp5Gf8z1irKmIpyKMKeWDlq
M/nDgBbOt0r0pa+Psjkj9KGoqRA0GmvKtS6X9pipFcoeChYLyVQ77/tSLc5xGdziSm0NpfCRcO0C
BQYg7nJ7xKVjpgGIQlerdAhaDXQHoDrpUe3z6HR9Vhs7kbiCRggtPNLENeh0yNHSV6OAbGZuAD2h
ZbFHuJy6bjWEhzSplffzlBtfrw+69cHAtomNQVOLHHg1P7t3rHLgg2UzzmpyPEDjVUHNXx9laxVJ
rwkooHrx0VbXCOXT3pxrptY2jfo1bIqfVaFa7806/Rd7nakQpCA+RYVr9bk0awCgOkyaW0ZD/IBI
Lq+IGoaVtyyBdON7bU2KcBoqHXcx+ctqrEooRmTOqLmRiv+XIQO763qKmuU83yLxbn0lgmlkXbAE
IulaDRXNymjUI3ej0ibTfinD6GB1wR8jHanlCc4uTGtWiU1/uReqwrBHE0UM1+qav4n6MMROEVtU
mZCLNntwvL4pNiclaqPE7SLtXE3KlJxZr+ye+gSlUuzrWrKtILMC2bs+zta5gsH/f+OI7/gikhYv
jqpJjKON8LQUxah2ql73oH+cBUkMJztnnO0btcONcJLEhzSa1oKKQsNqUFgtoZkVuC/jSlXhFhu0
Mc7VM5KvkWU9ZJ1dVjfyk63lJD+h2mM4BiH8KrBKlLRNepmt3xgV3jNL9RfyueqNrG57EDaJYLdA
/l+9lrM95KNqtlR48qE7O3UCVF9NJ/fPv5ggmMmUzahbvWpzKUmRx52quQCZ4nuUZzK3y+LGK+Yo
hiNs341O8Ov6kK8nRqVFpbgD/hEBpTX9IFE6tVJG9n5GfuA5RmW+VwbNfro+yuv0RtRzFFD4ojMM
6/VyK7b5oEYRRFtYJFZ2QDN8+V/SzqtXbmPZwr+IAHN45XBmdlDekiXrhZDDYc6pyV9/v9bDOSKH
GGLrArZhwLBqmt1dXWHVWs96mrjvygaK6mIiBqjgnTiVVTqc71u+vQRYhiSTgjLOismxtWXYIuoJ
WDkb55bFB0Mxkq+Amofnqm/aR8MMy7OFlOarS1gUkmTlUWJoGcSSH/2Xm0d1s8tjLh/jV5NMZSyX
OTpHCUyr/1byih6EVLd3TpqTMlUgGGTdbG1OS2BKtjNprrJb5IMSqKZ5QAOR9n/PSniEF9szh7f0
GNVDz4LbsDbXWyld0YUrnkHaD+O3biNNkCFdwaD/l2wolIN67t4Rld5EzkUSiGyR0YnmMJMTkbmQ
W6HgZFnTgxqjPPz6gwIeg8LUz8LNtgSWtpDhMYII0sTrknckvhNyMWmK0OzUow7RuAGjc2Vw3+jO
0ugiQSgiBx5BSmxOJzBKr2cgm51Touk513OIq0e8zH0rtw822C9ST1DOFja2gbDZwGPc51gZEJNi
UO6ntpPdvYfwK3t1MkOcI0so/L9UU7e9uIlC1GgXXHQ9VcNAkdT8buwugbfU1Qku7OEkrOhoNHnn
QNq06WW3iiNy0wAsmyUx65KHLjaHP7Uscp9oapVfFWVSfDcssoP4R27KOpOW87IgLehR0ePcongd
q6Bpu8xwgbnz9MFMETdh6Ng5wQyDvFmDxopSKMWTiOLikxvrR7o+t7vJcASxg0qPhhFWaxOt5PGY
q97sAM0voum7a6OqHZQMxyEJgATtweO6a0wWLdhQm/HrTV5TTItQh6VkIhj52muTzOabdpntK1mq
dr1/Sm8nIGCgMdHbY4Se8ik0DWu/UiqOnlfDXEBEno8M/4xIWXIlzl46IE3Zi+yNhaTns4gtBoMV
8cZE+unD/d9wex+xS7dKvlJwx2yBB6BoFNtY4MKBi1c8qolWoxS2xJffsCLfWgJOwj9TfvRfngey
cc5oLpU29aF/SIhyQVZQ+7tv5fZWyECFURpZ3GNV+tqK0bdCyUqKaEZHudtIlvFR78foKbGnGeW8
qu8ONnDv4+HDqEkzMHSL/o7MDqJk4ATB0hjtJ8QC7bdj7XYH0fPeshwwIeBXdMlvufl4RerAb4vI
Lng5OOxjAQVAvlQCrjNR+L0WHdm7DSD4gr/Yk7/nl82aK3rKTKag4Tkrb3PwUF8hZp0fEgtBL3dx
v/ceZPGv3DlGiul9SQAd5bqbEQk1LIe6iGB7FXpr+mM6eKfJdNoHUyLPtaQ6gu3fXHLsMRJAFcqF
NfSGTs2JywUxoJGTosQJwhw1jR8DeAO/sj948H62d1bOU9oyZBuBQ8Ls9CZWEbjHCiJfJAbacfZO
5iSib5wl8d5ZhhHquqQoabrN+WkuBu/c1J7xQ01SHSrlTE3f9ChUfFl0A17ROYUSN8sL6khipK9s
lsUPWD/4/QXKSiT13YNmt/NHKtgjlG1GI3wESg4Cvd0vh8+iAcMLS7d0fTjKGppnwXUKkkLYbybV
Gc7WSLLjdp1ycChuzqH8cJgBkCFZRrc4hEE4hphIvYPcnr9bk1v+QKBvvpYIB4CabzqkiM08OWK+
27MqEWKMQvL3zRAgimTElAaKEJWizWdvETXzD5bihzDmXIpeQWci07Xz/fO/91UpljCADHsjYL+N
51qydAgbW8mD3IKHrE31Oegg4KROWB4BuXdN0fABawaXIPndegOnpZudCIRA0IMI863YQowGMfQg
pvL9Wn/MBsKoB8E7GAFZeFqbguhyMifXRD5nKtyrQ1ctGK1+PCtZHF8MFEb+uP8Vb99TaRDYoskI
ApQQW/QF6uSkzUBXAk1EiEihy+1dADojgNEq1ZspWrpnRSDfpKVZ9U/itfrZUdPq4EXdOUBYAfrB
3BqNhy2Bi1eAHqxKNwvgYnCCNjGqYBEmum1QYbzzQq/xUZ8uD4zu7Cquk5iQsjoP3xbd0hU9w4qu
mQVwGCbnECqiz4vmdLReQErc/8q7pqhPQTrMfAdx2XpXUQXJ5nnCVNSq0bXr8ugyuvrwrrPa/PXO
BsSOZBWV4043TXrYB0fTKBVMjY3nV+HiXhQIldAnbY/KHTchLtGP5LID1gu5MyncelVRkUqYUphB
BFN4gRpl1rWGq/xkjZ73t2014jxqUKe2ErEAqdRRWrT3UQFmS6ouUgkKE2vzDRGRrYZRHqA5iIzT
oMDcWiPxqtXhcFDYuQkn5EopHkkOGP5tC8FYHMTsCmvIg8UYVSbI2volD2GqqsK2fNAKI7/ePy97
94HCKdGfDbSF0st6acZAkcTOBAJykV4/FY7VnCu01y/w/iwnZN8LP43T5sD1yGdo8+hCCP4/o5tH
N5mLZWxh0QxEaIxQKBf5/MJQt32tysx5zAwjvniZoyH8YOrZn/cXvGubchbYC8AKwCbXC3Y1Mfej
vpCuiN54Xkq1R7nSBjHZGfGpLYcfmVdqT4NAwfC+4b1DROVY0uHC2AreZG3Ym8vSVZIEedl+iR5m
ct8vqUoBAXd1BAvdNUW09vOZlLRNa1NUtvKyVsuckQLUswvVealGh4HlQQ0PqhR7lgwP3Cy5iaTt
3yyKjyZMpvWyAGxdclq6RTlPokRDUzjt5f7329s4cjHG3gn2QCRuYxvqgqmt4m6gCC0f5yJtG9/L
i09N0ypXA8EzutaaQhOgFV/uW957uahF0m/BPOrDqnRPv8TcwE4hKJwsPN2C7LDupcaladXu0Z3t
GKVJMce+k7hfxyauWl+XrfSRGttBqLp3U2mWM2GFW+DV3qx/DpNM1k2yoDeRjBz0GK4+s4xRAi1/
aC582bRyjmjdblIovJFEmkhiQPLQbVeqTnRUv+oZmwnjn8Lsho/w/rgHBbW9nWUoBeoiWcdg5nP9
efsimkXceRnuFZU5xCeVqzuL8MJr+d0JrXo5Nb1Tv5tt6CwOPurewyJlH5ibAyzpbFHMUzlCY9QW
OUqkelufzD6ZzqLLogfLytqvaV+7P1wvErHfusV86hZXPVJm2HP4cgIfHAb0HkQlm8UPWRNDPpoF
No/cifQZbEiMIvmkUr1JS/No4H/vxsoXlOgdQDWV/bW9JLe1qEckN7BSC/HI2VsCrbHTS+y1+cGN
3Vsa4z8k/VSHuLYbU2krnC6pDMIeL9F9r3JtRvnD7iG3y/k8dYt5cI5ul4Z/lSSedM2oLm5b+bbZ
aksYRVkwiulT1HbDU68SaOageF4d0AHBoCQjfRG9kW08kkuSL8/ssqBI6+E6qVx2oPLjpWhH8+CE
3pIGSLgHf9GNli/m1u95XWlSDC6IWJVE/Kl32dj45pBAPAVz/fIy09T7ZxIIA3bekNAUt4aPY4Uu
vQ5bx6WYpurAG976IX6M5EnFJTJ9uQUU5qrimP2S4YeVJP9cldaUnXKrMx9sxIrJxIq6+xINNdrx
973wrl0qLDANu2ANtm3eQY+Kth/TLIAH9W+hKMkZ6IHzZrAohZNtz0ExWMbLfZt7J4ppDkQJJAng
Ddjeo/dlFk2VBeak5cwKTtnFSSf17Wygp/EbpnjV4MrDC5Anre/lMg0Rfyjb3IJuvFhusnBjGhsh
k/ZIf+r2XupgNTjAvNgS3L9xOV0X99ZgYmoydcRsM2bde2LcoIki9QG8mf74+qXJVwuEDbBQoJvr
pbWJPehl3nBbSut97LbVibe8vLh9vBxY2lsZiQKnQ4I1b96ruUwMV5lYWW4nkpuIsYWlKSJfJEn3
0udTeQCiu30fJUSEqJmBDLLK7aaZ+hwpTuWkga01zWV0FGR13VY/gETunUJgL5LuX86ybxv0ml5R
4y/qNIDadPSpfNhnK6PVNeBzzve3am9Bv5qSP+WXSKdMzL6Me0y5Vaa9z/owvULgPf7GVSaPohEJ
np+JdWNtRfAUahHiN5CGZeLZK3v3bdhCLWqNIvzLoSN5qvvDvvzO2ZAyI5J9Bb/FdV4bRTa5UHnu
ExSs03/CkNJNsRgOGhjMn83M9Lz+S/7k2AZSStIPvczaXAgrlVtBbgIPQNNdutgWH5iRep3uGRxV
gMl+FsKI9mlWbA9g6+mFGTdYGYp6bAEKI2TbtHX6XcSKeAe89KgjsXMWmUugrkAkyk3b1sJg4HOx
aMizKNoTI2AWGvAxnMrpIe3InikePAoL1DN5/TZuahjUWtD+SALVSGo/ClFmGSOtxxdTOLp/7Pce
WVnHZKKKWIVod5MxGXHGtDdON8inUEXAvdX+1kIFrdwwkewqOXpoLuIEQSw89RrBmnSCASW/lkNZ
nqbCHn7c/z17S5ewBJVjSmq1bT2ZzJpPltImkLIryXttycO3OD04itToCP+486w6tEjpVtKqZER0
cy06xK/sYqmTAK2U3Decpr1k9QDWOk7aEYoiLTxXmbc8vHaBvD6AA4AbwTwAo9n6dsQ6bTxXzRi6
ahPvrIuh9TOBQ7DSJD1IUW/vvcFoMfAwZt/pBG81HoD0O7WaJUlQCDS4k64ZzwDW0GqpmOr3NLh1
7y/t1oWC3pOVVYp9LHKbpzEpDEqsh1B/gSruK7Xe4szcoHK9b+X2hECd5JArcTloMW8hHUMm7Jy5
9jgQ/WQERZM2cGUhS+wh/uLfN7W3IGZZSczgrLolbZ9KyOZKTYkCInYF0BuTyhNl/uC+FXmb1zUh
LFAVRv+DU8hpXp8IOEdpC46xCEooqT6qrZdebAveqZbc8Jrxv/lOpJQfu2Z2X39AeMSpLhINyZbT
Jk1h8twRHsqxAS8wUi69N1w6o5v/LZcUtYgymw/O/s6BJBqS0w2yg8LQwXqliC6FndVjL2yLGQhV
lSN5PUSPnt7MVztnpvdgA2+vOMkDkR79V02yxGxqfHndwy9UECF3aRNea4Z2ITld9FOYtNYTzSrz
yUiG9CBo2TPKjCo+jMwekjF5gH+JJMbMIDIXQgRMzpdnPRucs9OhcaXZg/LG1qPqY4K22UFgsXMr
AAf/z6j89L8YVfUWjAQACDqhdojG+eI+04SaTm2fR5/un9fd9RGmQ/LPzbgZSu6zvJ3GmvOKOO78
l6ZNyGa4iVJeEn1Wgq7gKJWV8+rpMfJAAFVceWrRULxuttKEVKgScS6CzGJKha7bHAg4yZ+IQT3q
e5b7ejeDPUI0aK1lIr/ZxXpYPESzShGkztycCHX6swkD5WlyUufgDd5xAKR2P4kA6XvxFq33LgyV
bqyGWgQdvZvnBb6FcxsaDBmlaappD3DhKNdQU8u3lTGFB7Z3XBztPdkNowxDUWRzbjJdpEPjLRPv
3fTSoaT0XjRm+vn+idk5nOgoM3kMPxOxxrYcQtSklWi4TsEQG5JecUiuPO91kCVzc5CX7BxOhv3o
WUrHBg3BJpzxkiybKw/v6ZZ059tsXKhIquVTgaJ6kNdp94dSjPmB0Z31QXpACU/6UY0Hd72Bs6os
lGaSKbA94flxmasBXOvdQ+pMnX//U8r9WD8WTHIzJs6AOuUXmBbWpmyrCzVvYtyfE5l8VwDCnUxG
pD5RxSuClML/QWVp1x6oTZA4gI+ofqztzSAu6qklHjJny30qcpG8jfOoZt5YRMVfjTcUBwZvDyQL
pDcredpImrcdp86Nm0loyxhoLRopUTP2z0kn+oOXaMcKzHMSYCQpgaDIWC8rjpfM0BtlCDiwjDYD
g3hCn6g8cMo7H4+iDaOMQHE4lduC0TIa3aDxqgZjbEwGEfU0XsMpyr4q7ZA8L1obHlQBdpYlx6Qk
UwT1Kd7Z9bIqa6oSmrpD4FWmeq2dUTnHx0P2t3eMsJVGBLTk0s4Wqby4etZ49jIEvdUlH6K2D5+U
dk7wzJNGOXlwPkBt0h7s2N63hIGCMAUyJ5larpeWJMpAvGINYJoK9y94f/NTlArxEM/QbqejOKK+
ub3TZGDUHSVJJ+MBW6hm5zXMfNXFiA5UgVBOnDRPrcmBoXp7BOPd2TX6KyCbqLcxirmdHp6H1Fu6
vuTIl2Pz1KSGds1iUpL7nmNnQdxi4GBcYmqI2wdtsVKldTUWJMI8/6CnbX9OzQp1wfiIXPXWEngR
8NYM1AOTMbc+g2ZV7PRpRSziqu17s1Otz15RLDrDiY0XHyzr59j42iNi7ecuQZSMC968ntBtjQmi
eSIYkrga4QIvJUR/SVzHh9eC9Gqhy/IwRMU8Xi1iGth/5sSCQapMVVLYWrVyP0SZ+O9+UazulHl9
9WWa5vlvxe2Sz3Nsjn8Tt3oA9RqY0B5mSsyGn0+6sQT3N+j2WjEDSIEBqgzJmbFFiYwMNmRGlPRB
ElGv8WNRVF8y2kYRY3Ku4UOyzhCWNx3cq1vqA0JyqkMMFUDQypHfPF4eHrcr4roPRga8vopwUWA9
Hq1FO9fDMPfXZJjsiyk1di/txPC5PYfGfxSnrW1/yWLTO3Bht/cc2m1yRwnhgGN9q9ct4ijvJjoM
cI93yXNHpnyeoxz9qjHrn7PEiQ7emz179KRBjdAa58zKy/lL4Gwi9Z5paU/wVVj6qYAb9+w1zN7G
YCf9Af2sgzfh9rJT5kaPnKwEB3PzoHYjbZW8Iq5MnKQB69ByA8vsKFresyJdJR1beu646vWqEAAF
pg0YMxjL1LtWSOBeaEm1Byf29qJLWiJJasiDTTyyCQ7GpdWqCHnZINLd5Ezdrf1ohk3mq9zBV6ND
pCliVIbBaQRvMQTpDJg99xrCf+TFfGsppu+FgxgrIbl4sMMq+uP+ZdxbGjQV0C/BdymZ0dcfsIZ7
jUkm4uLaFO6phZQ89fWygr/MsPO/X29LBiIcP4r3lGzWtjqlHjgwkFXNnRk/8/qFZ4pP2dtRmcsj
lakdJ8OBIFaV2k0ECpt1tUKUeIKI5E0d1AdFeI4P213l14CQHpvZEiedNP18f4FyAWsXDZkJsTF0
1LwLAMvXCwy1Rni9Kl20aAbAikn8UmTTIMUE3JcZxrDHOhydSzeP2rf7luWfvLUMczO4IoB+NH03
J1R4kbcsOds4NBRVYVuDegT/P7l/3bezd1yIjuHqkiNpkOWtV+jmjjNA0UXasVAhLugj+nnt1ujF
1uLgY+45LIiGsMPbSm66MUUDYZ6UOYTajMvnp7DKXeoU+oLUbZ/tbBr/vL+ynb0jlIQnRkZ7BvjB
9coWkSVoxcrktLQ0dEJBaA6JVzf+uCzaw9yjRxzHg+ePxnJEtLZzVmXgRdrBtWfFm5APdIamF21G
HBEtGXOSRo40QQJWwNB75RstwtIXTi2u9xe8s5Urq5vva+TRvCwThQYD8h9kCvP5WYsicaq94YjQ
ZX+BsvwsKUM5Nutvy6KVRp1xakKNkosw7RkoS0VNY+ANRjN9enYz7UjfQv6hmyshmwqQFUvibWuL
k3TCSkDEocECmKkQREdt9C6cltfjsXlS6UTKiIoMYUtJmotJhUA24Znzom99njqf8sUJL60x6Edj
pz8nB7cror5HsZsACkFE+Zl/ecIhLgiXvgIhY3du8d6K8+FxjEIT6HBSvdOEUP7p57YP9M7pnuCD
rj4ZU9YvJ5xD9mmxLDx7n9sWAhv2P1Fshicije4/9FqpvubWjDRcNBx1G/duFZN0pGg0vhH52lRC
w2haqrzm5dTjRRJMQQ2et4ArK0BGATzO1TkayuVMX185eEhvzxwlZlyiijum87E9c5PdW33mONBY
qXUy+42b1R/VUm0mn4J98kFbZld7HBj3iQ4M394ryjEq2RslUZQgtiiGcTSAjMwUf/vZti9L33jP
ZPe5v4xh+GoXiSk5xwepM12kLWG13auhLQQ+K52VkhleZ6wDpZ3s95ZSNZ2fdcYRbdHu4mSeCDgE
cIy7CaJVpWmhbBl4VntrCpLEsy8FMhp+orfaw33/dHt0WBx9VZh7gJRzeDanPRz01IQHKSh6x7z0
+pL9myml+x7B3u5cjwz7WT2DoKqaHUH0b18eLOOpaM5RPKF2srZsREbT2B53eq4XcfIyEb6pCl66
OJwgOSizun25v9Rdg4gt0bqm4gVkdW2Q0LWZvUTGyq7TPDuM8Pl5lVanohX6JU4AB9+3J9+ytSNx
4RKlg0WTQmawm08bmRpCLzX+uEAG/SlpjenJ02DgmVF+CuBnyl8qwBzXaqwX31zaH6+2bjqynm7w
A+iQbBLZSM+bgZ4g+Z9t0leOEoq2vlG4+DCv7U8Z8x0XRszKt2ky9GdNb45QazuHePUDtu/t1Cha
MTl90Dc08WiPgCHpi/FNZ4mjQafbR4iggtYVvxdAK93n9c4KLXO8wiuHAL3rLoAO0jypLsSt97/o
3oLwdlxIKolwxW4P7DRZdj02Q9DYtOzDGUczhwNK8Kn3agENihBU0WlNEK5IsvX1ghL+Y62ZwxCo
GZKpoWZmfjnBU1jPhXqKlUMWqb2lMUpI4MDKiPk2YdlYtqK2anUIrCwqH1wFRxr31fK2Bql5uv8V
tZ1rKGtucHPQB0SUansuDNkFbfUBzB8jy0Rf9LD9bFacv2hpeYuPFrB1QXV5Lq+zzpj/OYZ75707
xFZBp22AYQi0hDacqTBXL9kc2m+cKkljKAis+Yj2efe7SAVHSPgMauTyv/8SC9B3oxqU90OgJ337
MIzQU4k2/pxEuXfgnHYKJ8SJSIUx8Q8mkFL12pQY3chrND6LWtXdpe0qROoUSrp1m9bnpo1fUual
rsjmCO6u6p5cb+mfGNlqD/ZnZ3v4HQQR1NtICLZvTzMzhjtAVBdUQ+6hsposlg9xm30itTWYV4yc
Vyc7vHM2H5hsgNB121WNUYOrizSaAhEnw6PjjtQrx5GimxUqB2vb8cgMDoA/x12QN27bHWpRAcqb
pzEobQMlAmbEHpe0SAOkRvqA0UIgMr06PjRLvARGkRwhL3dOE3VuqnHYllnd5uQPNqO0SeXSbUki
9cnNjb8KxHf+GNvDS7bjEEnnAEFyy6gEb+HYDRQtpZqE0DiXtXEe+qz+vIRNckAKsLsegOYUmdFP
oiO8PrJWk5sxuekYwCK1PKXLNJ3jPNEomir1wc7thCnUaqDCYN4FkPc2BmscryzowIyBZcfFl2Hp
yqc89IxPmp7p/lgjTVUmmvCL3nx9VQqQN6UU6lIaUDtv4wIchRMF4nwMirzRAkZuiHWbKj3PcW8c
BAy7PoAZEEkTA5wHz7/+oJAbw7dk0flre6+5qFoRXYsyrc4ii1/6yso+jJbev8EXFcFoL5k/eG51
HciNDr72ng8grGbAnFllsJIbX6QNrtu4VT4F1Qw7np8vHf0mVcvF17g0AUzHM1Tp95+FnUQCNDTz
w0xR0tvdcp2Ys27nS0pT12v6hI7/aCBMZTvP7ozMjkCB7KSE8EXdN7p3TeTG0giHbpXEef29Z0YJ
B90a+N7kT35uC+WTMVfph/tW9q4JkbU8QIRiTJKvrTipkVhmiwqe0UfWOQzHyl/mrHkn9Opownz3
K3JueEYoHAFsWJvyojkdUPYaAxSOIVDUQkZsk2GsznBB/tuLYvySq+ZRCWBvfbxXICk4MS5v19qo
WWjWYFfVFEDMITiUQ1cF6mDr74bcOnqQ9xZIoVvldMouw7Zvl7dLqE/xjMvRxth9tK0+ST41MEhb
XwwhX6mogi3X0qf8qDO0dydAn1IWwKXxemxizGmZTbOHaCGoVfjpI4L4oB674TIk2nQGU3jE0HFk
bxO/h1oojDrFXlL3aaA2Y3zOm7a6qLPnXqLROGIV29tFC2V52SkH2bslr5B8QuMwV2OggGH7iuQe
CtlDaA5nVMGTgy7Jka3NMTUE4/+ZDgwACIp+nmbLeypn6mHVHB9h9HdNUSymtQxJFS3E9eGMeqOB
IRIAgFEX1pd+6JNTPBbqGUTs62f46PCC2KDtJnPqbUkiGz1lqnTOZqW03hV2O/eqt6AAPK7H5b5L
2XNc8OEgkCixbzQW1qviAXJLSx/HgEEqUzuXfM9RTiEceeW9Q0g2wGmHngnw9cZ1xVlCqd10CUpN
O/loKrlNV8FKn2rHjDpYhJej+723XVK4lVlIclcGntYLcxGJh7AmAjBLhHZR7cG8NCV6bKEY9IPK
x64piW9AsHVnUITOblTqS0igq87lOUM09DMHY6AmYKUHpva2C3QuLRKKpGSOm8/Yhq6OBnAyBl44
do8lud2LohyqFewuCCy5zTNK13cLVoKha3FjaISCiimKa2oXCGDZ41D5SVVnB2/anh8GZfZfW5t9
6o3KcFMHAANsA/mVUSb32VGE+6PPGexU1NgJUkbLfuPU06+DZQF4OfVOGST+ko3lad03Q4qLorRR
/VtoLRNcUe+GB1HB7nf8OYYrB5uB26zNWHmeDuXEoWfCOU0ftTwyn+Ko69qrmoExvX+Td40xhyWx
GhKDvHlWWiBeVTTX5ARjZ4a+UVvx09y3Cqmehpf3f8MagAD4KeEoQpJ7vTQNAit1zNKfMJTqnR1O
qIMI4ynKD7m79tbFt0NWB8yTHAlYWwq11NEUZuzADuVRoC5h+4gkyJd4rJQD2PFeakDuQQpJlo6I
zyb8sJemtcuEL1gjdfVVETALOJWeSebr5Dz2veqXQslPi8i/3v+Ye5UMZBphoYa/RSqPbi5BZHtK
VkxkWfBoL8/2hMh3Zc3VNR1GGN4HxbrmhSk+NPWYfIM/KXxuIUdcTrB1Z+cqrrqrnUbGdzUcCvtN
bsflv4Mxzv+5/yN390H2BvDhUIVsDzP843Wqebx/njpZL2k8ga7Nlegfb0yP1Ev2Hgt6NKAsAEzK
XsR6y62SwdTG4VEqQw+CWvzDxe5mGP51sA+oeh0NVe8tTUJbiHRBJgA5XdvrSy3hKRE87dkMm1hp
p19NyYFe9e7vJIFMFNJCk7knVIxrU1zdmFYlS7ObFEkGZKDar1Bqj/YpqZET+Q2fIJ8KFzogxru2
6VclBQaZwiD009LwARKC/qHUE+OEsGF8vn889vYMFJzMu0CtgDddL2wcnTgyJ6rEo2zgRzoa1qI0
qaMVUYawtjfm3+8b3Ns0KptUDYBrkTBs/N1oNr1rJOkAe5mpPEa5DiF0OcYLl7QPDx6pvWcX6jlY
DigcyNRkvTiSeaeaTWxVozl+yjK7VwLSwdE52K8dO7LjyugYI4z0pDbvkqN3c1lAVhtYkxE/WsXc
nPOwKf68/+V2rYAJAIZDnnXTaWWipxgRHqYWWXRddRmrWH+MEn3yrv8/O5uzTgUHZCJPYAA0S/iz
K2qgW3Fy0L+7lYsAAQAN2s8zTkN3m29YppeMGkKwQa0b8fxk55XQ/KrOcUtjk2ff1D6pfkxz1Q4P
RpVrJCNDzLS9CarkB7pWunFWZ6t71NRIiYOCnvPgl0nu4N50p//elpqm+KoRJy99UuZ6ENYlxYVW
g9D03dhmpXSDszH6Y1gay2lgjjajzJCaj25HKnFuq2z53M55e0QSvXPh5LgfLDEkJFTNNiWeyZ6A
jplI+UauC21Akcwvhl2ND2aVltD0z0fzTXunhnCQc/MTTr7tJGRhaXo1fBAB5Lhp4U+T2vpOX9dH
6fFOQEhpjslaQmkKYtvKg941RTrWKt2etmUQTQf1T7SmBlVdaNelLeHwIy06OKo7zkROVdCApgBJ
frd5ARY6i4vR8zFVOD0eplRknzrs+cwHmK8P4SmHe7LxAyMCUejalww5VRVUsHuOa2ZRACuyrwZ9
4YNYZm+3ZAtA8nLKaT55en6JcGtFH3UlKmnaNaryDWTplPoT1fHg/hXfKzTKsIXWveTz5hFd27G8
PjM73e1hoE4GNbBdEX0Yc1TNT2WZ2H833cQsTNN20fR2asv+BfH2+a/UthXtbGoZOif3f8/ePhK+
UdZB7Yg5hM2lALFYp8BGcTkGtasl0vQHELH/KbX+CBy9Zwk+OMBbcraCGbn1wptJFWq4oJDuUhH7
c9TodkExmwk/RGj0INjeuxJyL8khKI0xXby2lYkoyztD6QKtUxztrR45DmDGMVWqkwm1bfbJSxU3
9yH/E3/d/557ToYSKl6GjgqPxSYwnbu87TRUboPYUpEamfscyR30ed5rXmSfmEyff2MDaYgyZOvQ
HGVcfr3U2FJcU1FGwohcz3zFURyolWH2r229Pji7u2sjwJQD/FTjtqQLOZrXZjZZfVD1Zv+IjJN9
Cq14vI52PTxakgP5/rfcPTEAeWGCAzlAq2O9tJaqMJEtPsbsxvA5rhQDCR1PezJi7ajJsbc0GsxS
HJ0iEnCatakRrqJ+hDmAEeLOug7jnJ7i2kkuThf2fyjYP4hbft6rDUKBiV5qBbJkQEQpf9Av7obo
b4LllCmIgibPqRgH1/N7IZ5rUS6RPxWd+FIu5vy3oTQ8rDRu40+2kZVHF2XvE//6MzaXkvpcZ0bU
4YORzwIzPoOb8AVbsKHE0W+8GLg7kC4/aRO2GJA4NkZkcZihgbBtOCVmqYHiTLtL0wrzfP/g7Ply
qIDl/ZPCX9uXXlOnFI40MuB4VrJTpuvTG0qv6rf7Vn56rO0eIgJMVYSCikREbfbQNdtOKGJgCrZy
7HM6afPFSNwmAPXPqLHtTm8sI63exCX4vKoQ5qORRf2VQdO28Cl/if7SZoPDTANFlyvY7+pzGVrW
Y0/+fBCP/0S/3/xWS9LLw/7JQd+81zosiiV0YwOjZW3/bxY547VbSk2l39ObDNR2aCYXmdONV13P
2s/g871vsWlkF7R50x9JbWgF+pRuVwdtPZUH+7V3Cmlikk5qbBdJ5fpDljW8QRo1cKCprZOcmil0
H8BsWt87xm0PnMpOzQIDgJDoKED/sKVTr6hpdlE4c/EcgwRZFNE5Q6vktCRAcyBM+qdnPvuhFsmR
99xZJONOwIohKGAw7ubGt9WyEMBR0B3bqDr3jeCiWylBXaAZws0OPMzOOmGOZtwbD0PbdjuLasL3
Oo0us0hp6Jq+PUCuXpqT409NXb4F9qtfkkz9UxdTd5Be7K5TUrxRh+e132J1nK5ifjRnPIky5QTS
xCrODdSWV3V0jygY9rwoVXiJoSY5g+Bc/pZfvGjJ5NJsaA0XvTSSh2YedL906sH3UqSOld51TlrY
TR8jBRejTAnSA8b8alknLNPCZOoX8jcSiK0nD0FAxT2tL8To6ufF7Zs3Op1rvxwO23376yVlA7Eh
ZSm2OryOmzag8inDjoumvLfKyPrEDJj75E2op6hxm/nLMjtBAZW87xizc3bT8OjJ2ImtiKr++xu2
iFeXAQ7SEejka71rvwmVprSN5sgLfAfl0yQS72OXFtnrcwBiU5rT3BvynO2t7UIvVooC+MjYjZMP
44b+HBK2HljZiQLkaAMtK4oJUsNlfZwiSFoBEGNFQ9XhcxSnVXpqzN55t0yzeg5jKjUH3mjnpWL2
V7ZVqW3Jfv/aoqom3RB2Kh/TjOfFL7xWrXw99sx/779Ve5fyVzub+IaRwRhBZWqRdEDqyySK8NzU
IG+mYmoOWMB2l6SD8kHMhORwG5DmWrREqjVwH2BFDFIkFE7MXB9VIPdOIfyrsMtwFBEZ2RSYbAP2
yjplqwaTMD/SQxn7muI8zG0TxPjah2K2j4axdr8iTD6S44x/bts8rl3B1jn8rOhW5ZM6Q2jdW0iR
IaIQH7jv3aMoCwfgniGv3ObX2gJsou/pW9kVXOglasqav7j4Nwbu8iAqu+7lN06IpCgymEcB8L85
iZMLj3QkiJmMxihglh3NU1qI/pOBfObj75giPiNhAYK8HcnS5sVVZtmT0zrk7+J5roLGTd2zUxlH
g9t7O4aAFUzr/E2pWr6SvzwQZguTvKZIZ9VUzR9Ds0TfkfSw3kylFn6+v6q9cy8jeTkjDkHJ9sEl
j++dYZLtJDV1PzNCnf+hwF1wcC52F0QZjKwWcjjy9vWCelVh1KTnxaOKp1xQ92j8KWvrh6lUwwPf
tHcEmS4BxQzXA/yNmxMRoVIiNJeHvM6H6ALXuvKQt2n2eTGG9gJNV3jgOPauNDABFiU5bPiM66W1
jKJHqBWQIJiiCepB9d7HkRC+S9XjnMRGjFbvEv51f9f2vif7RTUUFBIRyyYutlOlrgUaKUFUZO5n
xvwnBMKH+jmcYFS/b2ovIvvF1DYrIXfOmqym1KK6cSEuSZwo7/LKUWrfnmLv5PRW8Vb8H2fX1SO3
za5/kQD1citpZrY3e9fr3BBObFOkKIlFFCX9+vMoNyczO9iBPyAIAthZLsX2lqdkPeCRuO6K+vPB
zy0m3k1ImSJ2QMn8ZN+skrNYesBpb95B98g2H0Wi/doPl/Wehc0lH/ZzhwGgLrAMtkoP8O3HaxnC
LRGqsA6w8NgHWShO5r1n/D+XdYLJGtK7jVuGm/I0/BvJhNDdeWNtaRNcB7mEqU17Udbp3L7Eftyk
6VCGAJTseC4NgYYTvL+wL1e7AKOzLDsuUDIedRLuozaCq0cDaerP1+vsBwRwDZ0SwJ4Amj0etA27
kFODMiGge+1BjrChACXkUnPt3Ci4grHtUZIE6uNkVxAIgEQpE2hszJ0EjAD+MstIut3nczl3xhCu
QrME6HOkytve/M8lPK/g4CYTNj6HRuc3xvu5BKlnoWXWpv9LQLXR1MAUxcsSfADGQnxf2BQFjUzm
yZ4nQwdmTX6J9XXuNCEWxc0YgcaMAOR4RpurO2+sD4KQN45QWo+3QCDpDrJru+ssG+iF03uuaowo
AIiZDayAMU/eMbTzfAAvwKCEbTIwmmwtDsJj6V3src3OEcD4o1Ume7VyrxzbtIdbXUwOa7hc8pI/
N3N0mjd7D0jEoYV0PPPRTS4UmXM12kr2ZxQLXnWAupQshg1FQHn8/c/3DvTMNicROByDD3A83pzB
YsOOGK8Px+Eqi5thl8ZSf5uixV3AVJ87DOiMbtAJKCh8dFFnZMkLB15bM+tiTwvTvjqYqB7+fEIQ
oUKUBeFABJInEwqEaKJgBhVKktAr+4DTevFyRK9e8T9w2UDNAZcNO2cTPzm5QwbtGiDvoO/F05GU
PCFDqQIyfRWLWy50T87ckWghoG8O2A5kPE8L7qY1KI8Vm5RYk6T7iJu+XIR0e6ikadAZsrxCW/aS
TOGZB3Wz9kT6BNX+zZbgeG9MxDKRB6OD+ILH/wp5Hl0NerJVZHT7e4n0CqYoey6IjS7slDMXGtp6
QBqiu43U/7STLgF/QDcP/MDJY+EenfufZtLJlc/phejkw5ZEsWgjP25snXij6h3PMJ1gms5Yg6Jb
I0y1GAAFBjRdXz7fkh/O9DYKXjcsHKBJaAYdj9K0qkf1XmCUybqbFMiahx5WIXsEhy/N5P2xxvk2
HAQZwEHHfkH6djwcFZHTk0R9bWjy/OD5VtfeFHOYswbRnx42NA4RGkCEChcI3oTTMGRBB5MMo6xV
MdubuOjW2iy8u4Xa1qXAfPtRRwVWDIXYH41KCPNuXjLHs/JH2mUdlQowB7d5ScikzHTa7pfeK64I
EL4l1FvUtUTxu3TF/MdaftvwyAkhggoyGQqMx8N3kPcamAH4p4Pg0Q6VMvUiu41bilCs1r1C40sv
l4KUD+dgGxTN0g2/j6fgdM7S17AV66iqN7+jyoCRvh88eHtGjND953v07FDIuQFoQyEc2+d4fumK
J9ckkayzNVsPhoe4W1IE61Jny4XH9sNdhlkheIDWJErlmynP8VCbf1UKcIes/YJuLfuImO9h09u5
pDL2nodoTJ5By2heP5/hmbMO0NGGF9iySCBjj4dV+FW0o4Gs52CAXMEyIbqgw/g/fMdtWkh28HwD
Ln08ioM1L1Jf7JN+GvtDlHhhnbM8KEdHi93/MKENI4ArDCXSU1NbumReERNMKPQz+RJ1OKSopqWQ
G/p8nHNbA/UmYDjx2EE3/XRKI0rdjYglBL5Yt8sV/z3bAsCUqbjUVzo30kbOg2gfJoRa/vHHg85w
4aFMMtRpsOZXOUArpeKFfzfxRP7pE4NNiP4V1gi4hw00ejwUxSbxXIbKSCKZg5Wz8w/5OuMtNbG4
/vz7nbn+0RAB4R2bAhyZU6YltgCbIGLe13RIrSrNInx+HyLGu27RwmSVzHL5/c+HRHMAiK9NAvhD
fx4GcRHDBOGBahzbgT4al9zMaxnAO/vQ5/mlJvm5I/3f8U4ihVkQLOYEe9DEBnE1yNGr+Bwu17kl
EfQamuYgVXtJ6WhbotMXAaUMbP4AL94Hm5Iez3VifNXXodf3O9TE/UqgonKrxaohdBrKOwpFiiqa
0/DCyfs4XfBIN/sQpI9gwWcn081YolOpcYP1kBq7FnSNajeC8zFRMX7xW6eusxBH5fM1/Xg4NvIq
SgxIkcGjOxW/K0IAV9QEgQb8O0IfovduZuQRZQiFiD++xLBb8Q/KGRBZwnDHh8MOiMywl9FoFXPy
ZqZ5KeeEdF86nckLh+NfkfvjVYQQKLgl6NsBZAEq8vFYPEmFt2JmQGSuI4PVhMl52XtD+13M/QBG
IIyCK2U6OlZ2Dsw94OZ4bFtQz0K8VZR9T0kLUYU8BjT2wsX38cVAUo2wEBcFqC/56cFV06C6Nk7x
GbyIf+EozlU+rFZeP1/Xj9cDOk3ARkDYGiUCaEodfwD4RY6iyRHYcD8EW5x5SYnucfHVtvI9dGN+
oX14blIYEHk6KgWATW/b7D/FgnVJdaxQ4azzdIz3GhRw9Qhv8vSStuG5aW0EWnA9IWLyobqJ+na/
YuMokI8VhMfGRrQlcKa07AtDH4z1LlX0P+obgsWDJB4a3cAGYeue7FrIOvkouWHX5ryh1zOdh4d4
WIarFNtrt8SJ15bhHHr3YI/EX7OFgEUIMS1zT2xhv7dpYWrSFsM33ufprRlpfjsanv6OuyF5laqJ
4abL6YuQAUP7Sl0E43y8zfDbw0B3K85C5uGUAZIRpMxRzDR4uGOflV7R+s9qDcVNBPPNhyIb/bs+
WaL3JfCKC8nluaUCcGFDpyH4g8zr8ZZYoL8151OE0HqMf9uZFg/Fqvody+M3DfzvpariueEAOQL9
Fh3HDcB8PFzUs4L4mpl6gVPRz95L5isLFwxoQUR5abv4UnHnzMX5r6hZhlsTQcxpSZ/1adyPk6ch
1BFOD82ogxLV0/ha5u6S6PCZhwFDbVkeMgDkXieHy4+b0W9hllObRE/rPldW7nofOcINBTj8RkQm
rw1l7EJl/8zeAbwGVUzcoqhpnnZhAoeKA7q1puaCklcTg6l3AFHPzLdJtOQS9VPTfmeaj4dAAiG4
//wC29br5AZHhIka8dYAwrtwUuTsDRG5GUJd+87ad25jiKnn3XynA9dAcc1Gb9Ak6OERETr2svTt
pfHPzR68BUDzUGZFb23bb/+50QqzEhCvjak1Xdp3Cb+NMmtYc60yj1Y54+vXRVp3JYfsUsfhzM7a
XNeRjuLT42U+SSlAIEyCcbamlrmX1Sp19Cn0aXMLyIJ4/vwjnx0K1Rg0sbcK5SmEZwQzGn2TARIw
PRyMu5XGpQV8r+oYMN6fD3XmfKLWs+nN5FtJ9LQ1OtgAHH2ob9TWhx3NYfW0G/EiJ4B4BuPS7UzY
XEp0Px8SAKrjJcx5BDcmSHzCOTlDdzTNCUM2mKRexVZvuZtMMv8pTxdKef8/SaARjkdUWbpwzyMa
YPV1rWmq0RUal/UuaaNLl8LZyW1nE13ff5WvjodyngkYiVsItbZT9I0VVtytk/RgTb0wIKREkT59
voDnDgSMRVDMRhKKm+hkbrJJpb8yiJg2oWUlGfrhupjYLxYy/QQK9HKTmaR4gArCJXbPmdgCpQog
STd/DnSnTuJiaBwYEzGta2LbFJTCTlcQ1/rzLBGsNFRgNjTQ1ko/uWQX1dkoRZpdU1/+GHqx3kdB
QEDXXMbd5x/yzKGDex9apahwQZ7jtABqjBxWOiGNSgkcJqHNp2rn4BUB2dtLqJ8zlyiiH0wLvTxQ
kk979vEShAaoyq7WUWRNNQdc3WoL+h+EgTxzk0NJ662ZXH/Tx317xy0Adp/P9SP2aWtRYXwUuJAR
4/Afb9M1z6as37AJ+OEzLH3dz2lCFU95Q3zQEQo1QZPmO4r4p+zHtDggWr9kZHjmpIBOiZQVQQh+
hw+yYtxf5pHBuj3unNinPHaPThWAJ8871hXi6vMZn9mt/1YtQTbHUQE28njCkEM3M2kxYYhXNLdi
SJvXyRp2YZQzhxGj/Ft08hMk2idvhLBBkyHkwJxgIfx98tu0LKJO3ReZlLctjA9eELNIRH3rpXvn
3JZCSAe+OS4DSF+dhnVzvjRO+ygC0CC5arTM656jlUQZd1eGGQ89tSCs5zUa9lk+i7fPP++5xQTV
GM2srZ+GAubx5w15K4iMURPgQbTiysneFcKKPZRsf/teE17I1c4dVbR7cN8BrIgw9mQxgeSJm57h
UlixbeZyML25CfuWPayo+l84Kh+XFF13jIKOS4i465QcO+SF5pOCHFvhyPLcpAmpOlhplEDtJQdI
t8uaMgIGFMEv8vk3DT5Oc8uokNbHEAsC7vRkTRWhxjZUmjpLKIz+2iZhu9B6GhctfMBF6S9hfJWt
Ltll3pSrnZ8t7cFMPWn37dDEpT8qzUsv7SIoBHrg/EyxG39c+CW3b30cEAL3iwIFjNBRMUR4dLzy
eUr5wByERPVMl9tw3V4i2w6lHeceAlj5eLemL2jp1wWNXVP6c5pcsUj/MYQNCQZwPJA42jjoaIUc
/xqQlkglpRbyV0OUXo/e9J0aWHktUyz2AWRQd5ysl2qlHzc9qNobW2TTpwIRZ/vz/8SidA0HRokB
ywmONHznrfMUlAI6mv4B6HUoQhajXvjh8w/+cVMg9o3RpgOsB12z0/wNoLIsEhaptoUDSYXmI63m
KSWPhovkQvXgX8TC8dpmSE5jXJd4gNEJOVlbu+BIFB2kqIg3xnAyUqRbS0OiIiwD2bibkUGV/AB/
SDWUkQMWppr6dP571d4U7YqIQ9zFX5P8Prdad5WX2em7CzWcKbx8yd+ghiuXPcyH6Via3jePwyTg
6ff55/q4RlibBB8MQhJbZ/MkSgGydyCCY1NaLvwqdmlWARXl/aZDI0CXnLqvn493ZnmQnSCEQJEL
dZfT7AzOyfjxWavrjMc0hR6mLJ5XSB5+1YnDZ7sw2MfLCaA15ILo4eDixX8c70DZcp4sOoPLufAH
dd+GEUm+u9bBvx4SGl3+ANRL4koPfrxj7QkPzpNJZznZZ+ib871wm1D1ooX8FqJ/aMphSMOmzP2h
uacdQ4XcTg1BucRbHyLbTbBfKGTxqiRY3CXqaDBhIC7PnvjaN19Xu8qw9DMI0O8JT5rHjOT2zuWe
T+thQDxUKtGgjdyKCHKJQBCaYQeUUQL3YgJsX+U8myRwL4ft39UE5tdSzdItbL82PYfdIwi09KZr
hY3KdoB4eVWI2QcnDHpwxS38XSiHWTbj0370VG5vJ0R4zbsG3hPOBeFIQ2gPFtC+jahPnqK5DeQV
VMrgidEHQmcoiqX5X6uECNIf51cAQaDUArQ1qlXoPxyvEACmYROmqFvTjBUlhS97lUy0g3xyUezE
0mS7C1sCP+/4yIKBBCXhfwERG2XheDwYpqSBAbwbgGHRvJtYyd0I4aWn3kFZ/vOhPh4t5KbIUaGj
hAQAGfHxUPABoAokT1WHTnUHkgfNbbbAjxO543IL2smlBPzfHtfx3NDIw67Cxbe9NKe1nWhcImCf
gOBdSAI30yXU67eQW2YPLf6Huz6KyN8GSry0RgRL6JNYhrirBhRm1ipLSUFeh3x2r3iq2VC26P6S
21jr4OcglVYlHhf1zY4xf2LzgDpKw+iaP0DyGYm+mqi77jwO+ThkW+Fc6TZVfjmGrGigalckb5mJ
6HsCn+2vKtA9KZO0S+Suo2Km5Wp58qabzg4VQDHynz5y3Ref9973cQJCDpoSLn9rUH/sSs2ouUbn
Vqw1661+ptzzfwFrDhlvWRC+ltnSI2DfVuNbaGP7BuG39EaYNvy1TLAsqdN4ZX8jvtNyF8zweCml
gHXv49rkHbojXGXPzSTMGyyKVtTRPWK6ShpQy2+7NshfVxDs6ENvGj8pO+xT+WW1jWueMhLFIwQO
DF9FHVK/T55IBx3xqkDYhYMHvYAbkRfzWzQ2yVh5kZrePd0xA2aWZst+wBGABifkg6DLAKvKtrYA
k3WoapD2WbSb7XQcEPvgoNPkl7aHel0ZTKiR7gfUJr5ajyN97eEbMlYpiRdeWtB+bldbDO7Jzqu3
oxRdsAv7+/Qq34TTEcmiS46zC5LGyf52OGZAAwP0Nada3gRjIe7ADOFZpRf8wYXBtnvgv3t7GyzD
U4vgBdQXQCOPD9M4gi+x2CSAAaovqlnYbJ8Tewnk8wH6tnU2Nt8+vExbAS+JjodB+z1WYPP5VcD7
xtv1OZ1vUWkiu4Ti3i11WMxfCE3sbTopA/FckceuFLnv8SroA3UJ2Qpv123E44kjbINTCr7mphF+
is2EgmDI5iWD/0SPsO5rZoU3AS+WFBo65SlLvjkKj9vYxBsVMFCQUaAu6dcrKKlwSJz2ah4BJQg9
+L3LUcu3GdbvEfBSrgGIgvauqcNCt1lppNX8isC2AZUtOfphBUDJSJ5lwttoN5iwa0oyMxLs2i6F
64YB4WIXNMQ+6clQ/G3RbFdOIUyZu3ygewAV16mCneTSlzaZst/OZ6o/FNHExI57RfCMmyLrd2Kc
i0cdmvmvjtB4LRUjCTuogY7vCZPyKbeq+DHFHo54Qww+uqOpmasmHeIfSk4AdTJl7AMRYNSX1ESB
/aqndv1KQul9bweaPmQQFfPBStPUVUFCIVqqOtneeUUBGbpW9PAHj1U43PKmmae72Lf5+6BVvMCR
RnfXplkNrdq1Uf7e1/n8HY2/8XrRMwcgpCXBVxvnY1J6doDUY0uHRzSRBl7PdIU9nMrzlpTW5kNU
0TDj96CCY3ehmbZ8BRk+u4F1AMI76Eujh9INxOYlTJPg6DCC0GIPSK2gwNmKZb2lousBGYchSpVB
c+cvnAf8hiHAADfWtwkFn7aD7ZAU3uD2isYLiGn5zL+k4McE9dQmCjlZA9vGUme6lTWZuuaJ9oha
Xmyu9F8N96EGTeFI+IoOX5+XMwnd9x5Skx7gkHP/0/fNml4NkC5eq9br8veZUe0h4jG0rQB/SN5R
rF2+TGLMH5ocPrDV4o3FPyt++S+zljBwgAZH+n0cAt5VvhcXr/68kmZn0obIeunXIANsiISQ6WWR
hJ+Bo2SslozQRxv0TVjNI1hEJZyLKQcmJ5pZ2aVLYd6GLjc/J0/4yw6IePkAfBmaDhELkrtuVWFb
F1Z1UakVyL8AJnq+Vxdm4HvdedCL0tCCiPboLWY/+1Esv5DEZ/jRKrTReC3yBOTsVQT2N5KKXu+a
fF5fE7BWltcsorAwhRm7ZyrWa+fduUUnqsqanPN6Yln6DP0W9sWCDZncJi2+Xon8eaPNacMgQ9qn
rDvgHNEXHU05/MR6vY4cb+I43UGbuStuEhoPrprYnM67jWvXlG7kot/1KsVv3vTLFF33Zu7fYYdr
5lJlmXdo+AgHAejUNH+zuScPg8uVgPWR9N8TwFqzsosi+mwd3JZBdgjjGgcCaaHnEvMUe4kIq7RZ
ol+TFtlYxhZMnXKGWstD2OQaW7SdxBcKKnJ4gNCUuG0nkid3WUAAjKRLLP1rOGXEScV5yxJe0j7r
wyqBxexdVCiYL3lziPM6t/ylJ1t5bW7X+SuBgxoBqJemsuxI66aqmIG7mqNQKsQhQQyDnAGcsocU
CRG9IhOTj2Dlpz9k7zJdjivsXKrNrUrvoWVjpzLS2FQ3MY/aJ+rFFGF5ZGX2zbQ0PHSOIYlKaBdV
DUupfbQkFOw5hMGvqgzXg4A0LVq4JVKjIK+9cZpfsijUeQ0FmnyEpKucv2RoPPTVGDUEoByai6FM
YWo+lcHMmdh7um9AaMpJs96a2Glx060x/8cjSFuvBafDsoPhT+PvVQ790gpA5qyoCT7ZWubzTOEW
tXjuBf6nG3M3Zu0DtMmBJAmhaaNuQDlNJTtwIoemHOhadPcTTelvdCqybAcg/xLtvdhCWCATi/9j
dujqllA0cUmtgzb6iYwbsdCw8OiwWpQdq03I8AmKJB2plCQjMDmZywDxDrlApTFORv/G84aC4iiu
kav4CprOfYhtJ/GnefEimzB7nLIg/ouywrGrVUqXPoEObMVeDUXT7Xuh/OelTdZl067sHzPXYE3g
DtTAJoWJFds6FPKah0n3w9/kZSo4lNrneOry5gA3236+Waa5t6U3dMHb2ukRV3M4NzcTJD4T9CvC
4R01u3iCuFTv3toF4ualW7NxhAkcjKKdjnBcBnBQ1L6L2/x50gHsW+ZgzJIaQOI13wkLYE4pWDJj
cNPnv/VsEw3sgerfcCz9qYTviyeuXUj8f3i8Knmz2i54hqtGZHfcDOlNC4U9eZBCmBwfadAvJE0R
Pfo6TNdnpzm99RCiIrIgWBZqoKV9nVEpvnrM8w0eRNP9YPM0hKVU0v8b/FoWloQs470m2Oa1m6Hv
dQNRKzMA+R8nbJ80RXGVztMKwhLcanVphA+znMaNU1FJAH9q24M/UgMXp+PbotEjJOW5nBUQXqrd
ymPF8peaNjx4EYzjN+ADxkfRBAveSq2h79ha4subIZB4MeE0xr4jyoxhPB8Uw1BlE8DKN45NDati
+IFLRAeBd4MwNQGNCrt+FQdY8A0tCLvMxtAHXAYozCdcxrCAHqM3rRXuQrZa9hO4XRqWnooFvVaW
LWE5RJPon4gy4AMO6xSqe55D3uR1RejN7gZ0VJoS3ZW1gPFlzzfwSxM8tmvQFWUadcTuFhzrqaJT
ICJkBmMOHq9YF12m04Lmj3XhsAMUbTWodhizXJGYL00tsqF78wXnpGzVIB+N12Y/bNzhr/GUJtAD
mvXyKDnYERWluKn2khW8KIEj4N+Yx+UzOsrxuJvaIJv30FN1ISxr2pFXeJwIRO8zCbLIkLqQV0jF
9V5IuqAIQcPGL6d8xu7QJnH3MlDrBBTPHLi7IJiRKW70k7hKpCIvMO1G2Tygkrx4XmD7igJR82Om
vIjqSfkEOvDSxzItvtYPgRr87OCYZvpGJiBPfGOMIZLLuE2+Ge57YwVvy+w9X1H9qMNEQDsqCy2B
ThsT9B5a7yQvUUS27j5pYpuVK34qIIID6hfFGHqinIcwQuGDMi9eajvkDs+K9DmSd7h34h3VmHlF
u3B+zOzCYftF/PQJiVV+bULrvKrHaD/hXkohe0yh0GEiEYl9zEOcRMVgAX1oqQ3Z3kflvCiJ1OQf
QAhA9kUI5zdfslaaaCfTSH7jQSa6ksdTcFek04pl6YLorUGBAfJmXutdQZLIy2sbTnF0wF2u7rJN
JKFUS+D/QsEggT/lbBEKuJzUahYIm/yINORqzh3zK66SRlcycQmvoV0R/ARDwdtWgwbYukHU1i2J
cruHpkv/Eg0JhYfoEi6yjAqm1jIEY/0vMGLxbrQmBjo6EHA/wCvRD001UJ672wgXFL/NJz4POMsG
WBNI6GU3awckdrk4pckeR1KrqkvH9T7uTUjq3FKxlAwgObyrWaxR2ADAzFVisrI5WNCULXgYCr1y
bhL4CFObT1cs9IJsHwx9+C3pUQY+QPAHh0DNvv+M9Ii1uyzo8+KuaeHJWPpEuHsRJW17LQI8VqWM
GNRnCbomX3yjg3HX2NX/Ac817e8JDbU+cOHUt8yf0UpCDkGfEodEqlINhODKpHASxqpmQctg9GG0
RNM+v0FkHYGMjlJpd0DhyktrhY6pD7H2CGe3b/De7NGv8Zoy3cTaYPADz2wkc0MKb0UVmjJGzoFq
FfwQNII8kFAqWGuYr6RI8H0MJIbeDYXCDzZns+SVb5scAWWf/NWacFSVgEsQLiNsazzlKJ/c6VlB
O834BiCtEM0qD1WKTC1lG47mvp9FO5Wqy1Zg9FIjZJVr7NsqXUUS7WOKCkJJkgKIcaw9iFsYmU6l
dNL+bThLe1w9XfHGU5sHiCB1TFgJ35yUH0jqAPhDZ0fmCMPgx1m2gDW/InCOEajF6ZSXytHoH9lD
P6wM4R9l9rmnJP+a93OBjgYU0bIySaZ5AoNPorTfFZnY2SxqzW4AtjApAUSXsupA48F1VhSwH9Gr
15mDYCy+WaOZYxrQmwoOXdJ2cRUNHLZFa9S3awVm4hxUUW+np2RtHFTmgLf4pShNBTIClt3pQcE5
JezzPsMTCEmqJ4Jr/LtNRrwgHPtyLds1Xe9wMyCsjgaN0AQOv+Gvvm3Is+569W7WzuvuonZaPKjL
JfPONRGkazbGCql4kbWv/rQsqpqIC1N0lfLiltMlecaKBFGlkQbswbkIsx3rp/mN8gU4lxaItaCK
JxLxak5odhtCcCXF4fLlfeIWPO6a5T0Dlw2d0Zq4NBYItqRXc+3ZpSqMTn+nyZoUt4kcm7cGxiNY
fTvN79aiO1W3o6d/DnGBslYwxdl1MMRTWOUmip7mKFh6VPyUuJtb3wDM2TbyazxQhJkT5VhmN8I8
qUoVPOhLHYXdWPWzJLehghBd5UAwjWo2N52oJqqaLxN0hBXwrhqQF1Yw29zKxjoC35rUDSXqmuMX
PczJuptMEw830JZPfjUZi9uajRLpeBo4ml0tIIINtWHp6ErdFt7r2od6qBIUDIdD2Em7T0Pb5WXS
p6DR4m+gKtb5yATM1A22XLNp5jh2hWQ1tmf8N54+8qPxOMSj9Cwt7MNxn3cweyfjz0SNNrzPulWY
XVSM6a8ZXRI4h65SIJNGYFqaljNeu4Kj4tbCGUji2e7wV9YItmQ/A28N/7GKYhv7nG/CBOAAGHRI
2PJrIay5oXxMJeRJIANTTaiJfdNeDHgl3OA7HDS/93AxGhu/QiQy/50FSwJfi2DMm5pPs8nuXBeP
z71Nm+8Qa0tFzSbftCUKt2a9WeG19wteAON1joirgPOoL/4J/NZ3eH8ZagpW5/ZLKB2jV6MPst1V
TiKHA+jP/e/OhY7vWgRmLQqhffQ+92L6YTM+eBUsTnyJIkxXoAgjnJ6vNq6bLBO5xqpMpnhSlc1t
9uzpBF0SKEbHAMISiNnh5SbDnUBchctl0OEBLBa4sfaKRlkJDSL2W8BSoCnBEoAudw/0+c8RxkZ/
W26aFmlU24saoCnbIp3heIuw/eE/N7st42nmZlI1ojLBUVe06sFlJMZqwAgPNaFsCtFOwCd3e19N
ybsvJzQJ0oJPYxmxIRtKjnum3+nZT36rNEU+MbGt5QnNBeTdnAHWjP2F37vrjXsD8YSyiiKA+uLN
0hsRGMzelUKDJi/BedN4nCeL7mwL0YoyIg6etgYh/pvqVATr9nmyP72eqgehGP2nawfybV4Y+8si
WkatGirQryqAXHNFerq+LvAwx/xiD0xWEedLGUE3hFahADYwQ27GyoDR8F4vyHFANgVtc7fMAT1M
8Fx+0cswviw5Q7nFSMNbJNMKz6JGAdrWXoMXooKyt/yaZ7BYLWM6zM+4r1FD4LPnfkgvHn4r6QYJ
uhLLdDWtcduXK6T7niHoFX0hlrTXyAbs72Qdo5cGJ+jXLAcA9wRKJwNSfh+l26KJUtCDlJ+6kkBD
Ny995KDwtY+X/FUhM5zKBuWGH0FghqYGqiXjOyVThN/QOzborCSrfkIdZxGIrUc+VWjK9Po5QQrK
bqJiBTeAh130XTdp/2TDcPpRtLKd7tQicofWpMuS0lcplXdMN3m/Q/oNPey5cEPNjCqG6xatg58M
pf7bAl6Q/Q1EJbNnaJVtAnNoO8oK0l+52SF+6R7WWU7PpJ3432CZu1to35GmiscmemVjWyxl3/co
IFu0cu8zsw4U7k0ppIMB4GpNaWyffOu62RLcoCmuHLek0+NSCFT/g9jr9RWuYrkf467xyjQkuMxn
vGdokfmD51cd7uznNcCzDWbziNokkHEJNJ38YEChlNP+JUi1XW5Q3Yi/rIiW0fWbkDjv5gDOSiVF
CX5FxVHM11OHmmklmG+wfbSHMn7XwQKv5Hrpg6rJvULsljGau0pbAd2zECC7R6EjKH7Romjzhxgt
xN8Cjrivg0LCi7O4RdLN0ubXlHSOI2TzlXvGaUBxCHY59sFQ3mtoUaeuq0QBndyqbXX0msQDuhcj
vCK2/ovXB3eqicabBoUMUjoNuu5h0XRVO8L6TCClDmY0Pd0q/3HLzF4Byh1UDT0+ymvSJHASMNrG
CAzQR/9NnJvvFjWtP0WLO/X+/0g7s+W4kS3L/kpZvuMWJsfQVrcegEBEkBRnMUnpBSZREmY4Rsfw
9b2gut0lhmhkqzrzScYBBMLhwzl7r61LY+INxfs9HNgKq3OxSrM/Lm2pHZ1FT0YaQ84Y76vJ9+tD
z/7liz/PnGWtZjX3TWy11a6y2/yWHFnt2nYb+76nl5oFY+u4tziWq09tNmlZVBeuaIJeM/mV80Iu
eegIVXM0nOyYUsC8sHR0nBtFaDGRF7t0iDetcT9sqZL1MnxmU5s/pqPHwujGWpPw/nv0sZD+jkdq
I+uIx9XiBSmKnNOWu+gNGEa9BpBRtGwUfJE9x5YSfTAoBFpwxeakpCNj9lWAZ13OAVJ684HtiXNn
l7Pbh2PpzeeJbAw/aFyhnZVqGeyLyWmnMzVWY3YsFzN9qFYKSR9SOI/tPgHRm7HXVxxRbKsRn1YO
LmkkKHSzPOQUrI6D68V+uND6fwAHJPI97jMpdmO5tOmeJm5yi2KqJFfFoDjVSMM/oJ0fP4l2di+7
WStoshWmfoa4P5d0mDpehKLyiw8G/awhMFWR3WimwdrejarPo3qo4y8J+r8maFXHxEiSM54wr1zt
KtDZTt3HizLYRpZ1MUSOivvHtazRwHYNs0YAcrF7wLioPecMgOcBZUMa0rOIn+zCzK/7gR1EuE6t
RX8cqMthXDtqfGnW1GOknKQn9VBV5XlZj1qyN/ReO/eY+JwIQopd73rlxvWx6Mu1Ch3CE6qgyRwW
nr4XxgfbHkY3gk7A3otTMBZm083Svd+ZiQzTrjXOVgr19BdkOx5yOmMiGNOZratTqcmjyN4ONfUz
x2ahZrZlt5Gg7vOZfhaaxX5+6XbSZ3skVvNbhSbjq7QBv4aFURrsCQaIFn6SMWmPkOND2m+9G/gy
7q6nas2MHW9G5ULxWIj6s/1xsQ+OUeoJh4h0fRwsMelhsTjS2g0aNR92E8aYh66c7UdZoum+SIlf
MoMOocnloi2+EbZ+ZVyrdTtmMvmI9AKtqfwYEw2yiUpM406wke4DWmq0dauyOFfbpicEOqbduy0g
EUBZuXldctqpb2OzWr9ViB68M2nX44OXZcmN03r7LGn0/jhrRtpRbe9M6gL2UtjIDXz/cvCX6YmW
hdcc8UhVFxyI2m9amTAzdLPJTxSVZt6s09r77C3VgFaU48B1w1JEUpW3UruN2URQ1HHtkiNnYaXR
duBWu6QpvB0Ta+JTvJnG9igRe1E9akrgFwuZ8OWHrrRSJkt7yq8WO54/tSzbdxYfToaWazB/SC9l
17vR8j4Mli/nA/cor+08b9jG5nNMpdzia3pGeFYAihj511r6JcdRl2EeEHVh44utFJpAPthba4qp
7VPaF5+d2WUHYXZx9ow2AtzTAPkzD1wQHf4lDV6Kfl5tU6Ai30bou4URKpi+Sw1DEzqT7jqtk0oP
pAMzjOR3Z0giWbfDR9snM+xipLHRR0uJfY7jsIM7t3HWhsQQkrG/oCYpmv2iccaO9ClnsTG7NFkP
PkX3B+zR1lY2FpxcFkXL6bhQtRqDoS/wkqWdkaAxStzKDorc86gBaawdLA9OUkf2WgMVZNNnlPts
LZBCRro3+nobWO20iL2yhkq7qqg9E2zbFOXQfG/Srkuv5sSbyC7os4INDzmW1sIsmpmFGZXlrCFA
UQmSzu5qzGhPL6HTW+340I5tux7YwDSJFuSxhbbJnxFvAqYzU+3eHGbbg0ZvFkikgqRymAcjtzXq
/M5KnFbFgQ5etAQhurTWR5vw3fqqrbVZpxDDomMfe93BVkWspskuu9Y17VFPq6k6y+epdbefqzJ5
kcKrGO8dQ61stTRv9eR3AkZNtja0/bjG0Pg4GYJRamLimL9OunEUc2FOl61NEZ2OQaPqH4Cs1SpD
2skcxPZd4yTxj9hfXfKj7bwvL/qaeNzHguSV4ZtnsHZe6Z6MnXAGPD//Tbul0z9WymEvFMa+Uxmf
pNYI3dmXJT3CY2woRVO5t1Zv/abNchP0sJ1Lv9RIZ4sDl+noJiZbHPfCkkg4wZNlazovt+EmJvWy
AqQwgHyvs3tQTxKBAhUYOipQHgqeDuaJfnTFUYl11O4rYUp2GuPUCJolseoWJM6D3vJKCXQX3len
tRz36+h4hTscMvqkSRrYs5M3PRWozK6eGo9V5pvP0TWOZm+2sos5y8rhWiwtcOwQ3xvI79SdY/di
7rBsHDJLqeqDzgndPngkbExRSel8vXUa/n4Z6B6tAhD+JPh9S7JkLj86qa7Nn+NlZtmgV7L4x47x
za05RuEfKIuP6swYFEtmqpu0UiivTd35oo1AnZ3eLdSxryayRIa6zCaWyrHPrxBEpe1eTu4oz7tV
X/NIicoqPkP2iFvOub3XRVQ9bf3YITVZg7xeVmNnaUvl0sug2BIuwq69p4I35g4mYD5/6BfBaWbV
WV+jYR7AIsB7Xj6NyZx+7+bV6M4cJoFiN9tF/ElLOqkHiaamByibibmfdb+4y2RljQHu+ZKQJZY/
O4JiVsjPSV/ELmcty5+PScM3hawbS3yW8Lp8G0Wbi52O1nk5IMw0HjAgUWMS1Oz9YPSpwwWYarQb
OqlJuSu8fP28tK68ww9tfFy8RHc5MPVZ1LdpVtNEYI8YpC1224AWSnpZc/a+8aB3IGS2+0oEsROn
n4c+6Y1QiW5QQdU0y1NlrsvERlbp+s4YzfZ5AUr+NI3FfK6x2S+RxUjnbOwB3nNIcyLN4r0g5LI4
s/K8RTMwrB9oA6kykomyLyRvzxSs5kj7plliAnrtbCo+lC4hmRPHBo6RVtNUgUrNhowAGuN05ikC
fa1WY/7YyMalfOqWqt61JfL23ZrS+b3LmRE/6lrXU5OGYUo4hHDThb6GhQihNBxEHylP92PWCkTT
hVTdE7oj7y4uKqPYJ3XsuneS5O/HlkBLBDv2LL75UhULxRjRL7t4EVUdimkuoi7x543tULiQmoGG
leE0k4L7oR+MCVxH2VZnSp/S44SYWV4KrEwZR2rB8u13NbUMcHL0a4BNUvuZTD39gGldlGEzxnlC
7bknv5eFv6bx2cauHbTC7T63CWtTNC8Veo6cozurceGTfDuu8XKkrJXYu97rq/QCNZVWkWyYVWWU
xev4sCIT6COOkcvXyjHSZ0D2nhdMqZgvKsBPar+0bfa5Gybkyl6a5jdDY2e0Lk1Poltc1oEuy2B2
F5yXOL6C4fcvN3tDEhqVkw4hSh/6MDRX6fYOqib5oKnIXQ0IHO1ZrFRpa0Ebr8N9mnIyDsjiAp7v
stPpdva8zDdDbqmGRzILPUiZgdYg6dySGc/wEVwlqmc6933Q6geDkuYjjX2UD6oASh0yLClc52vW
XCQzW6xIYd1RTG5bKKFYs/ZT0Vr2R92f4zJg2mfcmP0ymB+0puuyQKcT9JQkvVNyxuuRdMu+y709
k5GX7glTTfej3mhj6NK8Mval4fe3ok/WTfsnzEuZdM4NaB0wr5VkEg+0tfCWKM2W5SZDmntvZW1b
XXS+I9MotlWehC2igyGKRZx49HrYZOy9jq74VkKgrK/EmDTUMg3R7g2zyqv92Ng+9R8OgBRhh1mF
42KMn2vWXjssDTg4j1gs6nXX6mjfqLulbhLpqZ9BSXet/oJOyiKfjHz1smi1Ne+LK3vPCtu2nlXE
yw09Ia/qinz3uffts1aXw6WaSbkKISFRZfeqqj43pUYJOzU4ye3ZIJh/t0J135lDaW4Vmb4Vi6hs
6xw/Z8MLu5ww6Ic879ZjjpSipAar0ZpFHlQ8dGknPhozYOILg/Xudq0Mh/3A2yLN33RlqMXBKnlQ
j3T2dKfQo7oclpFNFXXYJu/21ZyKM5W/e5VTKyyQX3BHEMAh0/kwj06U8BxSWqdaay9sGmrQbsmn
L6SB9qlA0zEvVhJm0MjfubXf9HnbRX/KQXFkUlHcvv6L/H5MDFaiGCy1TcrwBZxkeS+JGDhUtPD/
/FKkJiPWhR7FqnJq2ILAY5RL0bhhY6ArsLxsOCROMR5So63fYZWcqmo3XvKW0v4zFAIS3YlCL52a
mtdOeWGcN3VQxKQlFG6VHZY8d4JmXN8zMbwyQDbBMJnU4M1QBp58dMXSrDESEh/9wGKelauazzwm
0nce4Gt3haIZT6sJ/vS3AYKZvXKLOfdDJHwEzk4owK3YKHalErR98068I6d8ZWwY5LibbORxS9Cp
fzk2TBTifY/DP/Sd9mtm68UumdCYZ6N8Dw/y2vMDjQitiomd0XiiEsUi1zatlvkhFZDuHkGAe1my
7X3n+f1m2NuGhY9PjxHhwFc49ek2ohOcDvmYtIEiviwa8xLVhrHrPM26Vq2nwrxM47vWmY2/6SyO
kYlG5v6P5xI8Pmi+bdZMHDXbo/jlheNo52LT4KH2HdL5MPORqqDSsqw/zSoxMHdtQ9Kjckf6s3Vy
ITNPcXITeIpL11V2QMQAerJJb8zHdWrew3b+PlQsIJD0tJDeMk/6Jy+clho9rROO8FpazF/pn9Dc
XGAiPGG0y97LmD41bGx3tnl1HWvDznOHLx9hnvdGTJuDgpdreJeNW39p6VLv2dU8U/2qQvwV9q5I
1PSOlef3CZrrboQO3r9N0nxyXWf2Oo0NPe+DUGLfENcVtqPt7iu/aXZa4iyhblTG/u3x8urNkljM
mEFsjAHn5c0iJpnttqCvNFDMwMuO1B2N37KfCRwMBrtoI9NoUZIC9//j15/b3YJENn+tiwPo5ZVr
uyUgqJr9MLbW6u9Sq+q7xSoppU7zVF2/fZe/TwBYeCEeb+sf69EpOCaz+rxRrc+16sQ76NPSHoyV
PsLbV3ltlApOtFiLeP+NU/oAx/KYMqrLBDqLDsewpG811tXFgj7+nRXotbEiTJxfmEndrRf08uGt
hd+3LgSm0EetdTUPS3xlo/35ZMBj0KO1tuMpYBOQi+jtW3ztQcK/IwWNREVstNsj+GV60XKd+ufI
yXadzOpzaSai2pX+YE27t69zapXd3kGMlS6GTgF7zDpZG3rNIPtgcXysBFgFQcDyxuWDsaMjgX0S
AQPhM6P41iGCvJos70+jKrfLM40Ll84lXNTT6PdRmbRnaS6HMZDs0AbWHuSmS+DclMM21If3CHyv
jRyYjRuL1aJuf8rXTIFw5As21tAbdbUnA+Y2JjRoRz6a984i9d6VTh4sBNE1W1oebOJIEZWVQeBD
XsS7qm3ss7c/w1cvtWW0mmArwI2dvOCUs+Kki20/tLXM/gqogiR0K2v+brL0vYzy37cuW7T2f1/q
ZDFig+GMNJr8UKU+sGqTPNGE+llExrdAkEm25Nu3djprmoKNy0Z00H8SnsXJ9TjcAHMbizGatMk4
4D6akWYt/r7YsgMsa1Z7N6GEYy1l/85MdvpQf14ZMBCewm3VPfUu5uaIp9E0x8jrC+9HJaV/VtD9
BYxvyHfewdcuBTFRZ26GNijskznGAbxfLoM+YppV3g8k9XaILeLjoDrtvWPC6ee33RV2sY0PvKUx
nL5vZTl2ZpagYtWs+ZKOi/F3V01dQHPCuSu98j1X3OnsyeU2cy6kGDSLAC9P7swYRoJPPF9Fs5ah
kXS8g/hpmsBDQdNUSv4OunfvfHKnU9p2UaYT9mX2dtDzTzahmVDt4EqUmR5Nzi0xpzgqUCQPHV7h
PTsOEVHkkefp2Hpf0mWe7v94yLKl4VPkeGRxzycvvkpoonVLNUTV0g2HodhLeWdVyXhTpZ6IaLVK
JCPyvZt+ZQzhzPdBm/lwD3FNvVwv1MhmnosMUdHl9GkcU1tDdqjOj6TL0BK8fYuvfaybG9/2NgAu
g+nlxdoRYQh7swGjlJWFfuVMV7JL+5vYWNL90CI20xqpv/OxGq+MXSxTYFrBDxLucUoqLzM30ZOi
GVCid+aVSdmWrovnDF/LQfrHVk3TRzddi/N86M1bTnjlI0VhK2px7Lbk39Aqi/0qozKFXSOKZWwF
BuHi7+2gX/0rUahtAEE0pqdDfuaQTqp0jihZx6DXDt4aMErEsSu1/tg5onx++7N4bbS7WF0wpKNd
0E93d5g968pypjGyUEVraBC1Mo4sFE2IZeb6gizVbId7Kb4osrI/xjAv1P7tv+An9eFX19r2wrE3
cki6B4qMhOLlcOgocppbglFUNE51Qdmt2rvknx/dJCt2Tb+soewHcdnraxOJUiLj5hOO2nEsaKUg
cHr7z3ltcBI147HPBhZhn6J4EPAnsTRpMa9TWl1Uy7DcKh1zhZaKr0WTuPSY5vadsfnaNUE+sPcF
EstqdbJMTaWur9qUDBHOoDy0F1NtrajBvc0XTxUBzTuqCVVsu++sHK9el7CAjVSJLOE0Ec2gC76m
lNkIL7cc+gdDvYFjR3JI6aak2GY1Pd3nRWu/85G/el3ghtssh5H79BOXQzpno6iHSDdL6+jmheMg
Kx7yixjX907JxaApgpnsnXlne4ynA41XiyUMIDYAx+1d+GVTPCHvHU0LpwfATPWQZXO/M0dHPLw9
gF55owj2wTbOCwwv8pQjgJa0FIO/9pHTyTzyoQ6dYQtARNEnP7Atq7A3ZzNka2DB8x+ts7ev/sqj
xa2pE+BpG6j2Tvcd7BOWrjBShlKZOxe5g2reI5PpwA61j4bahB/Q9u8Bc16ZtLgo1RR2BZuL/WT8
spJBmvVZs8aRHjLkFFbnhaJ64cZZ6IpJ/fk7CurI3BZpUpf10zXS6zfgsuMNkV0u2kXv9N1tirJX
7nW8kVmol0OyX3x3ufnzZ8vJny0dD9Ykivnl+BlwTAjU9EOkjetwWKRRHQfR6BEuW+/GRK+OQbBb
bv8HF7Upb5igUba988uLNlWf6aVgZXaKVF7MNnXvzhPac9I080GvzSuCdZfinTflle0A2wCGsMlz
NCHwv7zoEueuU9rxEMm46ilyW+P9QMZmyfrQYUF9+w5f2aQTbIGbmlHLxU4P/WpAQTiqiQ3XgrfY
wj52LqbVutfoYwYD7u3QgtG9H4q1e3r7yr+Fj7L00AglQXYDZ22Rty/vU69XlvjFR09EpYD+xNJe
tTQhf2DAWPZpYxGPajWdePaauMG7jkYZMYdm6uclwd8PdGMQJJpTne5QNeEXePuve+2tYl3mxaJI
ySHi5EMQatI1Zm7WRQ+xmkdWOuahxLmkM64HcaL+lOz382FQu6YCy56MrIyXD2NJPcNtW44s6UjN
WgzQC0yKk4fMHMw/XwA2PjC6UbHRi0/DcOgVWX2KHyyK0Zgf2PL+XfOWH5hgOLv4nbj2zaqI/vxx
EogL9w6EPvk7Jy8SljbpIOIeI1FJagVGPV5PWb1EfoywxCbr7e7t6702E8PY83yLzZxHCtTLx+nV
OrmbS60iZcf6cU5HAw99PzzgfjRgT1fxlSNl8V7d4LVBA8iUHBeQlxs18eVVVZb6U4KnIKpHYYWO
36IsKzNthzBQ25AE1juf5CszhYVC2Lb4PAkDOb1e4zED03aeIrEkxWUjsu6xM+3lQD2t+PT2A33l
1qiUg4Lj/ij5OtvXf1m+xUqtc13ziTYk8kvXa11sxA4GRG1E/A0qfn1nW/bKBW1c1izi9Po2tt/L
C9bSxoGCWSIq2iTe1870vbIz80hUWgP9SDbvDNBXHiU4Tbi+dHhhSpwei2ikj/R99SnqmbQilH3F
AV2DjbrceQ8e/pPqdrIV2vZBJKCB+aKafDLxOSnSMSeb52jI0+UoLKgFbaaNt/mYGztnGnqOn3p9
k429ft43+GtE76/X+jQmnzNI2F9xddsQDqzuqLZAFtcS8X0Sd+OVx6HvnPGQH2tMLMckKYb38GSv
HRjwKXBIpegofg+5Wg2LCE30b5HoeolEKMaIJcxZXBBRVz9KlBzsYpc5efJZj89km8EdQSqkfR8s
mWEKAQjQ794em6+sYXQDaJMZ7HVcGlgvh4quScCoHUPFcAYNsVHlbfQlBZUFRVdj2MVx1fwec6W0
3jnAvXZlavMUsulFQCo6nWbESB58msxRrrvfCJyw2bCvwxWOchEZg1k+Or3Kgqn3x3d2mq8MV1og
9JU4sjFcTfPlLSe4v+qhMeYIKHqKvMwpAjICrUi06r0Y7lemUijb23WohcM3OblHaygTi+VwhtkQ
b+J8e6oOKHVmergz4sZl7Y5ua6p3bvCV13+baYigYGOgm6c19MUQY1dIjO3NAuFERxGLVhtcx3Gd
5poZALRHE749jH57poxmNphi601Qzjs9odD6l8bsjQtvX9Zf9UZaH0xpTweklH/aFzS5FAMWQgW7
GO+3PLomL5WTu3AwNtHlOd67LCiUh86IivY7G5nX7grSlMUn6AGtOV3ta6NZcs/RlggrMBX6qrPH
UCBaSZEpTWX09iPclvEXMxsQQQqTUNIpsCK8PXkTPWwyKGHBJmTIpa9QYNPqX1cJgOXt67xyU8w9
HHhMnh//+S+Hv5EAPUhaa4lKBQfBxvOF/4Wc38SX7Ze3L/Xb8N+4iA5bY2Zsjh4/2Za/LHxO4YMg
2Arm2Fbb4zD2TdTjrtwNo7bsKX0vj7pRTvu3L/ra/VGeszacLCeB0zCsFEYeZlUD0RHyNbgZZnZX
L9Ts3AFx7P/kUhYRBNvNsVd6+SgdfG8GqsVN3zSQUit6VEvw55DE++5/9eP+/Xn+X8l3efNfA6H/
z//g38+yWUB8pcPJP//zMnvuZC9/DP+x/dj//baXP/Sf1833+n7ovn8fLr80p9/54gf5/f+6/u7L
8OXFP7BA4Au6Hb93y933HufOz4vwl27f+f/6xX/7/vO3AFv//s+/nuVYD9tvSzJZ//WvL519++df
xjYr/vuvv/9fX7z6UvFzPJrvv3//9y/98M+/TPsfdF0B3DElbOGR2yZu+r59xeArJvnxnOC34/1P
CG8tuyH951/C/gftPo4E9B3IHULI89e/9XLcvmT7/9B19BUeyWYUtPimv/7P3/XiE/rvT+zfYAfd
yKweeq65nXN+faPZpHAqJGKRXiaFudP+lO4igdUTpYfa2qwrhcpcH/a5sQ3LOtHQ3VVu35UozR3/
Zm1TJ7KKwpoP5riBWH55Zv/62379W05fCv4U3icd1QYNpW0n+nKkKrud2t7Sdew73RIlpRtHY9dh
+ANJ8f93pZN3oidNr6kTUw9r3+gPra5wqptpepd3rnpn0dlmqpPni0SElWArPyJa2m76l+mlxOda
9JWBNpyUgMOq+omeOGRlP2NyrlM17mbVk1vKyfFC8/z405/f6a+XP3mmK9qanIkWNw/hA9eWBbea
ToQCpDO81w48XdG3j4/NPNIN2sbUd0/WBjn3XSwkI8nXCu+DdC1pYGAviBqreQW0ALV8p70zj55O
3ts1Yd6h80E3uC2AL5+uQLlpi5Tby7HfpShwtSkyNUJcQA5oV1qhQ25Js/X49kP9GSB4+qFy0GWX
bDrsSk8TwZak3QIjQHBWppKPnjGOHxLQC3nUq8mJ99KaiYenw2MaO+F1oML9uNTPsBx56vOy6pVz
BCgljAieBLn1OExXGxkibn3iy9JUv2y6osDEsaRS3bh5iZzv7Rt47U2jSutu+hobueDJlq8saqno
qxqhixlsCWQRF0cER9NMO2SU7wxBCmm/vwPshnhUDHEmLevkU1pge8zEe6Hc01YMfr3DXpR5Jctu
pVenXmCxy8ZDapfAgSbgbB8AXJoK34fAK5iRo0FfADruFDYz3mngaUPzwdDAxu8md3BboHa1NRwV
IwVheTfYKcyDYf64oCs3qOcp+aBmd64e1szO0tBPxgrchxhAq7mJrRTC76b9YTZgwAJhePVNnVZk
7gqjVrXYuVm+7BbLI7AbaIxnHrFUdJI0n5bQKx1Fb3bTSdcmyQMHbxrW+NvKUIPS8LmW8Lr2VW6b
4hJ7+ua/GxLtvhPK/jqS0NrsY6texQ4bQeaE2HumnR43NAmwbXjPBvDKOgCCCNqt91rvjr2rOlAy
Em0wQE7FhZ22w7hztHRARGdOGiaG0Sie8In4NyPsnQHRut08UPvU3ctJKXkripa44kWOknm9XN0H
f2jo2ousNK/drm8/8ZiwMnmTOeKRsdxlP9oJ4T/VGpcx7I5EfJ/s1EfiZpAdFyoQS8+OvbiPWTU6
T5QCZyOQTe5AuBnW597M1wUBv7SeRFGvVzQ/k+/GYk63CuAEXq82Lj4Xlic9oirX1UM+twy3Q4Fj
bVfJRvy99D7htQp/1n3e1XIMm1Xq96umJUnkxVLd47bx7oAgbBZtZeJ0mHNvQIZnluuxEbLEU4xY
jeRN3YNCQ40Vt3bdua2PPclNcHQr5T47SCPywwo348eQ2+Qo5bZWfLDjthqCqSx8tVsX3VXXIulN
IEfZBBuNJeCOlRIUgmNmpjsGkhit9e85TnR1cLTZds5TKhz2eeYpMwYuipAnP0BQyR/quDPd0Ets
NPZ1PoEvkdLtHnqTSiXR2HhIjwitbXEGeM4Bga8gqMFUocIWxFkuRiuoZZv6KXydPjOvpprUlcCm
/xEHdsfePepItrpNdKrXYc8C0wYNE5kF7cpyCAadZflspUUGx67LJUyJVM8BFC5q+Aw9AWOHpmmr
Hg7KFctx6VfBq4KF3Q/ywR0eLBawJfStJbNC2jwDbAhMam7EBqf/UmINxPBsCzuYmqK2sWrlE7gM
39SukopA9aOZthN+fSdxpstibToHoCEl3oOtxnXee3Axoc1YOCiCATgjLjI4I359AelH5Fiz2UQF
ANNhWNXO2vqHpSBM4DLe3P6X0LqX5XHmFE91rmlR4jcI7+fvcZ/m81kypfwfuO7kYDY23bn8avKS
2aE/lf0VTstq/LvHQaOuKccW6TVmeDEH7MjkhZ0s0GoRVo/6LfpZ61HoAyim1VlkR4xtooVzRRoc
6CAGqxsOOUr6ED14N1wxBPxHvVka58xetBhoEvYFILQkca7QLNMOa72/ZnerE8/lznJT+x5NDTx8
E55LGkIp0y+V2UPTTAsSBYMhWwCXyNbXxqOTlILjJeyAFbFgIoXxKDQLAG6TTF8NMa7qKa6aDHRg
Ucdx+1k6TrcOocT7U+uXqak2VI9pdKK6iK24dY/IyxzlhkoNTg0VpGvNxsDeR3P5uiqwqYidr/d4
lfDQZOj+zmKt0hVZpZnzsRwFyD1/XkEd9LWwIS2lDvY8cyyq6jDZqA6D0RSahK2XjCj8jXn42KI4
SY8VDvgGiYunCNLjl1mB7c7F4yL0FYbL0ngSHfHoOPgex+Qg47moLu2+KcwjdpBe3o/otSXvUe0A
GHbUR0fV/gfN6FKSLJwVv3ph4NFahZ1cyG6c9ym8sp2TWEU4Y2oN0lU1D7204nsb4ii27FaJ3bQa
9GvLuaq/xGkZ7/Eqoged6uWuT5v+IR0X+UH5y0Apz1N/xxrAAA8I2S52nagz+wE91HxZpu18lefl
F2nHJdCA2OmiempIIh66FSdoibUr9dXeNidi1YA1YZsH7oCFpio/9plSeoAHVL9Ykh6VhFdEOj67
dco/JVhJdzb+J6An6SCOEj87oEPffwLZAhzJTW47NYjsmDVgN30/vszWOSZts94LlQJpmHXnQuu8
BGDYqvZMQMU5mIAkXMGDxou7gxk0bzQ2wrtgGDhR7tMtsCh6Q7w70PjLqsBWgrHhYYy1U9Xvs6JE
WqI3x9htH9s1lUxFZLd9IfvL27uyrI4cu8azoovLT/5szseJGvqhGpi45ll4Bz8pmVVcY12ixp6f
a+LuiiIujx3+m8UC2a/MBsCCF6tm74o5v8wpEQHZwilT9PSRyPKIP9uTDSpJThJ7nefGX9nOnNWW
Fh+L2nz2cFIWoVYZn9tixf64ZKzmEEQOI2gr6I35pAdNLB/jeXIe435tPlrMeiH7S+9WW1YrqpTs
A8sdf+Rpg03OTy/6vn2eXaKaVFveylqc+YnMD5qZP6JbuwGiMx/KilW62J5VUZZDlICP3q3dMqKo
1DucV2WtzuIUVlcm0vM+Mz7SsLfDWhpN6Ndtu5/y3j3mdizOYQ+ngOBaK8w0lQQjewMgABitn+LM
Gog9IGTsYNSmRWmytgl8X9Z815lTMQbdRotRRfvZrsEW1XQDM7j5QwuFMp49MwJ9eIP33EEbpOIz
drEfqaEZAK4FK47Z1tc4xs67zD9WkGNhKcmv6WRe5X58DqRIC4bcgAM+yPVcJu51tmFS/bH/gAEw
CWPX10LQRUwruEeXfMfW9wNe3fQHO0XvK9A3bVf5awxC2J9DSLTrRb46vcNvMNF5K8pZIK+T0K4B
DCxyYj1mOf2AnTEG2WPHkd2lZ022rvdisq7H3P2OEzYPhnoxj6LPgfvqP6ba2bNJG64bTR9IffAO
ysSA22jVc+zlONlWDxCvZV+nU6KeZtFrZ/aa3hacdYEP5SPGbpMOD3YyeYuLdAOMkJkLX2xv9S4+
pdrdjZ5NtlvfRiNWuKCGyjtPvRlkGtKPro3PMjGZO1l6KqIjdivtLtmnboV9VHn3Vm2cF14D2EUf
DxUckcCPvcsY8+/gNl9sX3GA0fp7rFhnmPzpcaVPgxV/XEa5hKrtLpBymbsmTb5URCMFVCHIdG7j
q6rUIidr2qjGP3rRGByNSB8IxsF47jeiYTvRpXNbQz+kBdtli6y8XZNLnWOprcHZMvlmldjxIcGC
tT37zHmSC9pffVl+6BDKdjBvd/1YrWHWfW2A3QdmbMKFcDJydoEDZ+7yv9k7s928kXTLvkqj75ng
PNyS/6zBmiXrhpAsmwzOwSlIPs95k36xXnRWdVnKPBbyrhvoQqIKVVnpfyKDEd/ee+1nW0+RO13M
PlrQn1v+zHo71xc2G2IVstj7YbEk6t4nmexu+1lr91VrjdMGso6KVC3h2pRTqwGtTgKImU6ASL3p
2Ts+JXjb+MNsgpFkUUnG4v1m2ZNx5kd+3opDOWjLtXDj5HaGvfuYKvAzoecIybdWJrApTRhUeTgq
U//u9alBlNgdhMR+xr4ekoxLK2e8lH0V8ijlq68KqK3sT9zqaKSdCZBLI6j9hAC4iL0uHBkcGzCn
l9k4xzY+Rru+yvW2AeQaB9ah1LuUOB5uCyjzLrPgtjWno54XwUGbvDSPlhW8H1YdpJUQDKr1mhhu
UUSOXpAAziyr/cHXSPo47St906Vz8EYi3ICWFpMqhpCJmQtyAq01u0713nMwTLZJU8nsAJ/DaX3Z
MeHha9T0+C7TyzHZFKln3vizKAjMa0Z2qfcz4BZMmP6LoSqDBwETKJOLGvw+ai7uiJBPmcXbpjWl
v2EYDWZ48WN2vgyB6yWMbdPoNmPQ6A8ce28R8RI/gj/EG9OVJDlrVmk2hjqcVb52ewQf1sAQ/NHE
Brg/ijYTegM6rSGuVktgB+6giaNhjaSsLcbAyonNB+r/0MqzQeseVeDR5zbNFd+SZ641BirIAdM0
fuKeC7LF+mYxx5b/Oa1arnQeXcDAjKF8IPMqHgQoAxEZZuXdGf4Kk/H73IfMACei2Cxx3D6vfCm+
q5kaGRFrg4ya2auu0lnSLp4MccqzIcknXtzri2cvk74bjoziDwYkq+HYm7b8HkM9eS5VNV5j01LP
fm3LYzE0s8W1TaPZ1isC57Fv415ERQWFIe8AH7HZXrwpahSDMpjiAfREwKzGK3DX4NGOA9ajwoEX
tsYzk2WDH8m97xrNZSPPhTmGIDshT6B0vOWg21iWEknn0zDJ+Rz9k9mavbQjx5XBduQ2F5Yad7pF
xQHH5Nl+1kuszZZbghGosejUkRgdiBc51VKMqAZcdLsUcFXDvVipN5f6AyqtKWGAzOOOBvAdr79O
YqcUJ4KBww1o+xGuoIq1ESBAn/O8VGBeAHMMKhSWv7zGpVNfz1rSlLTXJcUD5kD5bSz05UuO8I/w
qDmNw8WQyLsyAw/J66SO2sg+CLKNo6nC3CRDt4AQXu0HUb8sibUJYsd+dqvYn/ngpvimdYCVeeTG
ADf4QAB94rQXPyoxWdeD1XAIsnuPok72CAv8VSxcPGconQu7HovBvjOb4n7qYuhnRlVWbwjidsZK
3MqbsZg4oILPqMlBs9SCTi0q/U3SMAbvbNbhCXZm4tpbpMl6IQMO6wi9RM19tDjzfA50QVObBkLB
12L0WwPTK+ZccE8x3FcwtF2+m3JoE9C+KTMNeyhZDIriVsu3qUKdAzXvWzuOvjwvUpUlmHnMwsHR
vGR+qLHFvy9mD0OE0fmwpJa+SY0QVaLsD6mrVxL6ZdtARBpnHF19YigOea5xLHEbGLscfvm0A4qS
9fscxWC+wODXpwRqzOwBDDUQHZqD0muPfSu4D0eBknEW1TUbKX1Ie7VVVitTEwR3pLX58t23uiHd
Q+Kp2OSPo3YDIGeCntZ5RcrTo/XyndO06t7VWheqccDHZIddyWtjEQlIUMUg9YBg6pV7OGzFddsD
2oxIQOvxtgW7JriwTAbHY973QGAgociI2LrkvDbuljKYEqLFrv8YC6aUEH14RO2SIjaHHVG3/BNV
6W8mbBzSV7WRAN1ftcYV5MXEiQnzzP0c+iwp4dy7+h5L/Wcpob+Zuzqoty6+a2IzpH7fz0ARGnMI
2LwUSORlB2A/31gZ/kejdxW1E8Vn1Rx/89HWD4UncRWVyAe9fz1vgG7tNMx5TW+N4sfpdMYlwE2p
adP+H84p12zHGkO08E+bCHTvX8oC4dimGLIiM4GP7kFm2FUOW0ULtO4nZcU/x9PvZrrI7AR/8cAw
Sl6H9e9fixILFyZaCXu6mvSbxWmy49yZCyEvHul7zRpmqFG8T/aXvp7RXwP/+7KZVjqW22h3lEbL
CxgD6WfZxL/8vLwvPMSrj3uNTnyUQkXgdHmeJ7SDWPPXUWQDJ6pasIInYssOWv/Ehvk3L7e2uqBZ
4LhgNvzhK88T2boD7pVN4EBFMeOZygrGRQfXt374JOI++YU/GizQyJEMjNV8uRrWPiZ1gdAnptAd
Qc0GqDUypnHrP5RJVW/tNNXmZ09pRv4ix6neLk7v/jma/v+CJYIl8svvBMuWeM9L8V7j5B/5U7PU
3D+I2qMGIr17VJOTTv23aAkB5g/T++nodLClsdz+z//xL9HSNlelk1XhZ5admSKywr9ES0v/Y42F
rOV8DgFbwoz/RLR8ryfwCviAyEmtjhWys7Rrvr9V2T4BwdPpN4LA412mYESuxy6WO39MxKmsRI1e
CYwqlDRtXugQZW9/+a7+Rqj8UDe4rn5reAl7PSxY3sZHqUs18OVSxt0R71S71zpcSbB1bV61gkbJ
ABb+38z+3O47cQn+zeOEwohmu/iYQMKaCevZ5LjNA06rr7Fo2JFQWaDuzCQbl73WFM64aytvW01u
98n99kHvXd86ixsCHd8bshkpjPffnWRsiSLM6dF156k8zGDX3F0nGs4RM4PRpxmParELAM3xmWKM
CUfULCM/myeziz+RoQyulV/E0Z9vhlU9wP6H2czkafnhzWBjL5OULos6n9SyDcaBXQ6FObm+m2Df
vDLNd3ZYOjN/A+xnqXew0cb40OKG1/cT4fD0VPMwn3cEyeI5AuyWFdtCJcyGYdiI7szUlZKfyNTv
lyzetGviGYYdgn8bJ9FHp6SWB10hzWmCYO0wl6C5x3APbl24QEXqnOFLzppGC9VawrHJcVPWn31t
71046zvgQc9tiUXfWd8H9+2vmjJjdbpY+mxtfE7jMkwBpyXErYMpzK1iZFxM20eWnvTYHrUryokC
mwnQUE9JD0TNjW9ys1DkFdDbkPONgoOwlknRP/z+Lvng//75Nrnc3JVYsIpFH4MLfiBcAXRoiLiT
8onjrT/c6m2d75pB1xPqDmRvRK1JOO6QLZqZXjbLlGb7CfN9HJr6Iqdtt7SGtXErCSFTdJYyP3nq
W+/tD+t7BMLJLm0NcyBSfGwh5DI357Y26YerATh+KSSO9ChLCa2Fw6zcZeM0JB9KWpV42s6lL5G0
C6a2eMe9QzU0nKUSlfmnhcaoV1zXcsfkM1dn0ileMwmwKXSnvL2pnV4CksdnR4cTGyV702oqhm3c
UjbL3Cgrxy9IDrGzb9npxffT0Kl7jzEQrN9hPZu4UMCTTy7kD1ZPPjyTSPY7oAA4zHvgR95fR95S
mNU8eCvRPGuIRvkr4bXUdXbNSi/pF6hjSQ2RUna2VbOpP6b+aJ23fcuwG1WuYrxhkgj/5G2h339Y
FuiwwxPM/tJ2VrPux62YDHrFTI3chU0J0EpxV/Ko+nmikIqxUPUKH5mjPfGXajgryv5IkSlhoExZ
jAV7/yqodDj+xjipo9cUE5KGtqNPqH0Y9EHdzVbwFMDnPRYAtBF8S6qwo75svG3XttN50FecTasp
9D0KcqhzGEDqmT0YZb/s95beZhjFfP2uHqu3qoqhw3jFfZEs7uUMmYoxyTxTsBvX6/QGNnAsFWFD
L6qJg902nqV2bTH/GKWLItJUz5PezuyyUDvPFAC0eFs2wO1ASVJe6LUwqMBMUX6o6zu4lEsecbmk
b3mLjB6OkvfLper5206fUiZ88NEuAsLWu3mhaxdVcjjN03SzEEbYJ5ZuUwg0NbeGm9wy4Dao1DH1
QzFlFFhMhZQcUqp8VyaS6pzJ9V80WRhRlljpRVyCTYWy6T6zlp86q7WhebrBYa715ECVVXWaqLVg
XujlDPR7gv0RM4oRJkJiOo+gqmm78bTbJWOo2GV9RXnFnOwNCtR2JRzuDWRrUF1QzG6a2rwPYpl/
MRtkfUNwIp41ZnZtidQmqvMZR9JTW07aczvaIA9LPUMW07N+0Um1uMo5BcCOvk+DlG9lX0bO1G05
dgJLKKbiitIo/LR+XN42af8saBDc6UP13ZpM2W0DCUCTFqyOUeasUxSEiJS96lB6GecidTrMZOLs
B9xc701y8LsK7AHCPVin7027VLS3uGoM3T7VLu3MFfumu2DfYdrlcHThMxwIVCuyxdUZDjyGhcye
OIPyO2xt2wQ5ontWsMmmFF3eTcS16nt1TBYQtRbtk/VeZXV7OY6c6il3bhkjBsjMo6qP4LzcjTY3
WFlHN32wZka21WJRxRCrbRAo+5TkqQY0rizsPR251bGHZ3qgO4voo+ZgjWjk+G3MkxaAtlO1L4CR
2ldTWSYXqLKXnQ+I85bIXbbB7uy4KLv1zMCyrtOXoEJ0GFKaQESPa8Hvmv4Rxxg1Y1opmF7pBs8d
39T0OuKQqq78YGAEj3GI7owBcmHo5vaQcSflVbeja9Nrj2k3if2QEU3Co/GUaI516zMi22rjLF9Z
WPODsk35nKq6uFpDxZFPwTg6YQZMzhVQwUucFDkL7J3McI1R1+gyKvHtdCXxZm2owUO9d8SowrRN
WMvdiVs2QCM8lnLIz+dcLhcJkzQsJXpO9YQAkURtQZDawaHCsXpmjQChxKTbe6mG10aH0meYXLFh
QvCQEia33Y0+0kNZ2sCTY3WF8P+1H+wRlKTfHpmIpg6hPdfZLqahvtZLLq6DMY4RonPj2sddcYMu
oB3NUVUAaxk/taUXHDqVtncTo4xuA57KpkBHv+K/iYcMAOsh90Z6MKpR844oqMld4XnT68hQ8Kmf
GXBEFXxH/DZNfQkxejkYec+/TSm2vjae2zejzgGne9R7fe3zeTxAtaWnToyUMbXT2plQxEyuraot
7kGlXltUE32ZNHd+DZaEFPXcv+LP/R5IqXIaaTQAyDSD3patzC9p5Rp/TELq7H2trD6nAy7Yx5mW
Hjp4uwdzsfj5rFz5aoP0VkUxz7l72hPfWiGGJ1vr65sSCEpoF5Z/EjRPRumyfgkT3+O3MlPL0SvL
NMpxSgYbrzLK7ZQxXEucmOoIuyUqkxgp7ZgUYDOahXMQLqNQEqpmXz2YuW99yR24hY5XTudW3bkH
Q0/zkxk3L0Yfj9c4CLITA8Npj+Ts7VxHyy/bydW3jaL1eaja7iGumvic4gjzOPvZjANk7K8kNbdf
6KqdYPpObrIdLezfOLvQ4qZ566EH75MOlxA7MPUo8qq/zNtydPZuUrfOLi46d9nNuZBffNwaoWgV
IMfSSZLvumh66mt01n3IuZdux0FCuX2w1dhD8Z/BblqK77gQx4vSr6qtgBR9NWSQvlP8XlHnZjQB
yvkBawRdKHUfh3U3uU90xgc7hsvM63KJW2WIY0Udhp5ZWpjPjsHBarxOWjO/QEFObwxltsesjnOq
b8uCWR0ylTjiHNIfIHDa53GtuedM8b0ojVMUM17a3BdYhLatI7wDwHbtG0bL7yKozWMsTP/E3nme
1kawiac6K1pIcq3dBASmkfnZUbeyqbc5yvluan3zrqHfDP71YL9pnRWc+xQWY5Hph/GLGMzdqu1m
WjPcd2Vl7B3a0SCPOuaupxDluOS1+ewF5a7zPYbOab8Y350GO7Q3m9Sc2Um7ZxM6fZ2GZrlEnBgu
hZNgYkpEd3Qb9PtQ0nYVAV6d4Hwv8xfsxPKASX31pMAFZwWwzgQSC5az5nFcguCkWbhNQ+XhGmhi
m3aoFNhg6Iv8TBScuhaukz3WqOpkV9Z4KKdRy6O4qFu2Heb3xrUV6p+iiGtdW/yxzCJfTv6dg3k+
iaA9uns1mcau9O36lju7OFuwwFEZ0OZJ5LMDp7TcmqlRWcg60VH80Duzfinq3Ps6WaV3QB8wBLDv
FW0fT8yKx5yTmEQIuyP+3z7IRLeeQESyyntWpr7TGe1duRXFp2FXUvtrT32dRNzNL+Zo35a+QFvl
ITR5fXAb51P7PIxFcjsybfqh6Bz5ngRNei1EnO/I8rgHv0N6DDHpQEVtEHcjhr3T0XV79P0mfevd
JT3mudPyDinAEZAtNtAs8ot+/c1MO9FmdBeeVbloxCHDaw9Sm1vEmnV5W4u642Rhs7uYiG7vM9C6
EQIjIReqb5Nrk6qdnhsrF28kOMwz04QRTeWJ5nxrdIEGZo29ve1VPD+osdGuMX+kaqPh5UK8Cmbn
CTuGE5Vzmd+OloPzoRYziOjSf0tNogYb3JesADZqRzhV+nzl1A2taqJsrBOML/+Lhm8Cp1OVMpnm
xqLuMuCu3w3TnJ6XY17fDBhYDWw389tQO9QiTVBLzB0qpvfVpP7CC6nK4N/Z/vn31P15OqJKkMUb
LtYhpMMso65JK6fphDaQ+Q84TKudUQwBT0z4gNztihl2wKLdAurdcbANmJhjbV3Lg3AZXVPvOc8W
V6jbpAcJALgIY2xB7gERc77i6siT80DMidpl0nWDjdJnmG0mPqKSjl2w50PXB/dGOpRvkAGaw8hh
70ciXTargyr7i2lYkisCZXB1YaQgw+MXHFh3ggFLgOcizAxVdZFCg66i1AjeoDYAiYU6y5aHQsiv
PHnT84ax4kEXGb2Y2STwlQy6Hc8bvaPOiSvEdvexJqjN6a0mPae2SGqwTuG45T37mw1PnvprSanR
tDW8Kr53W78bdtgFKT+qzKJWm3ExQIN6mitN2p7H4q1XFg0QEn/xpFr+4GFVqvkza+2FCnGYymwx
KbPIfC+5yyc7ftEXnzTVDNx3jwNmqqMCO+e9Ermq9gzTva9V3gLOXrM1/d4IZgqlBdvyNtJF6r0E
Gf4OPEHsCN1nF/sH9kOv19NIr7v8UhsoJ2WT7FQr4slM/Z2LEHMzsdlmTwKKA5uIlurVRkmkE1oa
zPS8qEftcqRhDXAxj+simpVQ6pTHlX9vSGtyMENCyjtD6Gq0KB/yIHuu8OiecytX2knXtQHo+DgP
yz6bHTiVnLLLAfWlbYszlVKdG+FlpeKACiD9YUU0GSFCHHoyjQRcr2aFMZm9u3TqiAwzHCW7ajA5
WuxbxJmll94DDpQ+22gTv+jWbwZH7TzQ4LQrqZLqv7gGAYGBq/Cu7cYQl7PCS0//Eb8WxVB4FZvc
mUMH88qFNkz+17SdtGlDP4K1rdzKvakX2kHc1L2ipNE8NWamvYA6A/Lc2wtfWFZkINLRirSwxja4
H1F6b1HdeDSAYU5wgNjBY7Mq9n7tynJbT3N7BpzBeplYvC/rohl/BMwibW4jrcb0CBn7WqSQ38Os
pPU2HHDmNPvc7QdqlVMKXMKFWJpDsyKjst1kj01F96lWaTg7YE9vfz+XWcew76Zuq2eeQwUMULKw
THLX8eovkQSJVtaNsdGFnmww6Cwppx8apHEKZkFDg0GGKlfg2cBpOmTuy5gtFoZQRSiDR7QZ9GBz
+6T/UseLZm/B0FIwZhlM51HpTUwoi+iHr4M5FW6k5ao80+cEA3ufjgpVmcvfDl0Nl2U06rI4KVqg
tD1LyxrAsoYiCfV0CfpQ9thY1v1C7kTwsLE9/v5L+MtwijgUo23Gd1x3jmu6HyzwshJerXOGDkmv
Jd9AqYAIp0Ol/j4rHHS8FRVRYW1c4+tnw88DnXoadzH6qHdy4wLDVPbFoISVq1bYn7EC/jKk5c0B
TIBFyeAscOyPb07HSU7/Iru+rpTZfRIbHPxafQmwKZeyHM9V4mf7wp50se2XzKlpGJZjF2m25Gz2
+y/qvR60jhfRFj2AJ2TsmXp/zAcljWli3CBrS4Et0u7YnpXYS7aJa/W7Jf8UrbjKS/9R4f58OQt0
zRr8Q/bTP/wsdhV0Sgi9DOPZfunpI3voXcrU694NXn7/wf72lehYBHsALplj6fu7oExqLaNRpmRu
EoCInQP9RKZRRX0w/osB+I9kpru65K+PUbd3Ebn/Njr3f2EgjkaKX77uNXD3LhB3M5T/678q8T4U
9/Of+VcoLvgDPRczNhLSCl1dv/0/Q3Gm/ofJyJgbwLdNz2PE/R99yedvcTN4KKGA1PxVef53KM76
w10lGf8nOZzL9R+F4pCk3l2GHmgHhvwMhkmiEPIxPiJaKDnnjEw2O2riZJFnuLyGetM0kEgPrqa5
y9VIfTybPSY4SXnTiLEuLouJrlyageB5KSpshjo33tI8p1KAA3SQHXpjBBRMBrkst0Ei4n6jkiyN
N0WL83Fb+50TvGCuAXjrFokhv3g0kxvnsz4t2qHPaNphO5S0SXqXF/GgXeD7takbsMqirs8d6htb
PLuecRizJnGZxtW14R1NlXY3uqzns9ofqmtrEN1yFENOmVFLFehmKhsH70cCa5aDF86ugZ0Q5aqy
ArjzSoiDWmN2TpWKz2Mvb5W+Qfaa9HudDWx8KX19bvZpGVTudsabbmJzjrmFfHxj9EzrafXVTsvY
hcs4jtOh8rkYMIwGQNBmdviYYAarzzfLJLFEZ3htSUQYlZtHvuajq4OuS7Rdknh1s4GypJKLgiPu
RUmR222TC8zLrezUuV4ourpz+q+HkI8gnnsoQjdU+sC2Jug9GZE2VtaONhDX35aMWW1KjXORbtiD
G/SXW8lqiSUkNxYXtlmrJwIsjcu63npiW4DoM3Bia1YXJhh/vguYZQ956m+SOJjLTSs6m5dN3Oti
autztg/UPrQ95TMgH4zkraLmHFdwrN2UuCbmTWF33QthGpo3alqAQA7Y5ynbjscZP7cnJbMhDLkn
BuOUHHWrw1PpAtuwMJf4nkaw7NhABbkwjWC49uhy3rmjfudLV38s8qx8TSyq3QOBMW0sreKb7lTs
V+hILBnB8nT/4lEoNLG2qrzfGMbgnOnZlD0XXcvV48Gox3lWLnSKtGryf1hVg/GNiZF3N6SArzAg
E4qQcUWqLm+9ydwwnq9vsUan+rYNxmZPaJwWCTqtKr4trtyLRZtGJs1w0LBrjpKYW+Pog7aTTIaZ
MZm5ojKE2M92oeTXxNHcazKqOMYeWpIujCSpYb3hhMkMzhB+/Tj0csHwKPLl3mZDQi8rdTcOgxSK
vsPJc6vLWkAQCjkRDcwu07G9q6QQbz5NIH1Ei9H4qFKR0rHXWPPd0Lkexikm20aoAC1oh1n0Thl2
2KnfgiBN71s+PM6LeDLrfQxlBga0mpsfskswzJZxm11X7JOoK8S7eC0rJ/O2GVt+jvd0U8ARoi3u
qxrHnP6QrOanMLXaOCt7KkDXdK14w+/Wz+d9miszDITlXhtZntyzNbCpp3SzeE+fmP/ijEUQbNqu
8x9Ej80sbGeR3uC/18atrsnsS5FgRA9HvFavdC1SRKYN/D3q7LyJb9wb1XkCevpOFFl90w7e0OOr
7sxjXgWE6oijdY8aD//+3IMeeRjJLWlY3eLggp0Xe/SikxmuXKjx+hZM9phHdunqX0jExcEu63Mi
TGSvmuFkSnuCU4FB862BCfu9tuieP1Y0SSZXTiPLPFwMSsi3AV4z+brEjtlGnWNWzwnvgYGOO1jL
OedrLY4m7MBwzqwy/+ZTIzPtGMQ3LhERzbvvp7H0YLxVuE8z7MDlVo5Gfm8AQYg3PXDyxymwRqRF
XHDf2mqurnxVQC0pHBqSt2SPLRS9IUW70TgN8uIxO3NqK5s7r2e+hWHV14udFpvpD5JC2ORy8l5P
bpL03YkDKLoCh6T4vKJf1N81jrHgO3UZYWy7GcTersctSzlmZ6H4+Zma45Axs39vmVRihXSEl93O
McbyMqVbOdilzmhCfsxwDyTGlF1JRCJaUUURX8fgwNvItip5JXuZPLlmT0M5efIgOfCia9sRR92Y
JJGFXd7hZ+s3oxXMYitNi+5RG+vnS6kry4taxbq3kdzcdtTQnQZURqmYAbiO+XBjJbK7ZnNLh80Y
1y7G2tThUWVnuo3nsSm0U2PXDbarqlu+eXSg3Nfm0H9fSn+5oPsHmYvim/y5y0Yb3a2msCfiC+e9
A8hbkk1bJvltRwp+IJJgg8VfAmOERZY38y1xJCfbKwarVLlgsW03GJQJUGntKPCU0+Rc7qzap58o
T4PqgV9tbLHe1vEb7eysRoWzjIzBLBbbiAbL+h59kMOY8GeMp9PC9q5XfpYix+T6TULxx7T1S6ul
USmzhyN7fbPeuOY83ixsPNuQJGC3hHM7Jo+FPiRfKMghwdbAjGR463dYiXVSM1/sTgU6851E8dA1
FI2cSaJOwmPsiGzcGVNkTHNP0gwL+TX7BYITPHO9J/pbLOjkPTWySCrdjGmTeHBIONF+pEfSuKEl
eWKVIAuCg3FsvIOCpEUMJ3MsudHNOnF3qeYWMlKBZsPiqyz9RfdsdLLOVtWACbV0r6rZ4yG0DNLu
UMwKavYsugKvtJy3E7VYa4ZNnZjdw2Cn5jUCu6/teKrpghGFMO55dNX5yRkHk+deOy5bkQpL2wZU
cMHNpKVMJwiKx38HTmlON5jWBv6P0FafcLcM5ZaJpXYZEOuglbz0uWpK2ah541Et9APpCRUslTXB
EWsZmD87Wjd848+IKZUGE/M1sVNxhT9AWPg4GpP7K12MUznlqYwojPdIWfmOuIUxmcZc8vwiW5tN
RLsx8SGfxfHs0lPXBRw405lFMyRClb8uZIYu5WSaBCVraXOGs/kVCTxU/bVBXGY+lbkx7rOCnG0E
EEraYe2v8CsvNunq9DNzFR6SOH8yrHiiattw5DmVrAOJPo/5bVTif2SzgdL+6NRE73hCddZ9DVpk
2QMhXpjN9NqC0VRNq+gyUwlO0R+O1pB+YWzKeG2ZRA72XC2Humo8SjW5aTo6YJVz54qltkLiKHET
TZBKrpgSAHfzmkHY55OJvLp1OOaCXms16hCVy56Z8MJovg7aRP9tQDf7C8V9yXNPPliecgczPM/5
oqfl2++0GxK6La2tPvZ3DMCzGHZGntk+4Z9xuMaF1yanRWJiOpZInuN5u/jrrTQbzabhkZCdG7PN
oHMQdCxGtd9CFu3QmW4Us8Mbag/yZ+UxsQrNusv2zjCU2a4pfVpBBZ1p7lXhUW+/aXXSD8jBfso2
VzFecC7YsVKcbeGfcM8XMYKitux1Nq1lhem9etR28bBZDA1XyRKwP6pDMRm6d04v1Jg+sGHOij2m
70qdmyS4gpO9aNCeu7bp1E4MujKOUvlxt0szw4i/wVbL050zUaJ5Z81VIM8dizPoDYoqPU+9gX74
CQBtdVf856jLGcPGGMMP43AGwmf50R4TZ6bmUnWUUMJrGBd2m+O5rL3y2y/nrqs//7xfoRofZgk/
X8YHRbaSxVmuGXe8P+cGbVN1Wi+B/drkJdhlFNOt4fWsnWw5M4t8ttmcu7jgs2i22CLqLY6p2BPt
3c838o8Owf/tCffdOfj/NTgMP98vv8lfzsL3efsiqu+/Wi1//hN/noRtzrvMV0CwA5bVmcj9H6el
iZ0S15SPQUe3serpHFL/jYcx/+DvGIZOcIG/yeL6n5Ow/QeoGWZbDj0/YN358/4BHubDNcpFQ4PH
arNck2Oe+xF0UcJhB7bfqk2Wm8EpwfB/ypPuM2T5377KOmCCrAiZ3fng5/RE45eiWdBWYsHqoWfs
/6e+nF9/+dr/5lZ4b9xb7wAr4BulAGU1ywf+h7knO/sGEiG9c/TADiyo+BLiMtEOAQe9kzdU3b3G
BueMczuJ+N+/9E/b9C83+8/XXn3lzJswjlIX9P4uLGOJa57BO09ex/BfC1n7iyCq5yN8cTwtFwJw
Ap0541w0bRhwJA+90RpfK7OU8SYtUZPZ1Fu4mbDAmMmW2GpdXeIXT53P8LR//TVWJtHqbMWUyS+/
Ds5+GQ/biL25SwPHxkit/sZct4VHV6fS9h+2tzj82KuBcW0EAJP2EceWEaNTOOwm+s7zvgvZxE4O
8ftSqgu/Vm47AKDD6viUMizp/2mZGDcanjfASutfJhfE+w85EBFB6sBX6nWaSw/l7J1ZDFx3v//Z
388YueJ8aDgmbJoV8US44MOrADDLQCJIY5N5Wfd1dImajo7VPDhiefr9K70f0/58JWbZUF/xppK+
/4j5deagKfFzGRshcXZwlIppOh5j0tzTpJ0VuVPPn1zSf7lMWKq4li1T9yDJMJZ4/w0KhiGDSQ3g
xpltnzzRCNjIrbV/CKNeF0SdjjmIc+tsz/hw3yBr4eIgg7qx9Ca+Ifqe7wpPkPiehHU0dflg1XNx
9fvv8r398Od3+e41P6wT0BxsUju8pulLjKhlvGyMXH6jHNN97P3cCv3E8/5h7RW1TCyxQJ50cHCs
6R8svV4yIdpndFybvhafkFz6K8NCpsq1GtXVgRPSh1AEVbz9/Wf963UDlgwbO0sTF6j1cU1MKkVJ
pOzNjZxkcUNzbPpSkFHFxldyuh7dMv9k1/OXW4IVkH/hTmD6S6qFh9qvqwtMXuqhpOMQT/KbL0bQ
yGYzcOQD/OFn2vH3n46WjQ+LPrssfNq8UABs1lo5ie9fz6glyU2GFhvwHgXiMGHB6tRkWr88IqwW
KdqTW8a7pFxMPHR9QaWoGc9LERarxdExwPm8TMW0xjETJh3tqWsKPznNrTdrO5x/Em8nVdslJIMG
jCRgeLvegtWI3W011tW4Z1kjWDd73WQdhsEDijW2AuaD6Q+ijUraSJovbcfB/GwePaM6qSW1rEd/
mTymVEkRdYt1DIo0MLZWacQ8t6pkwTCdBlP/ags5UUfrz6o+V2iR7mHUh8A4ZW6sfTPaknmtEFrz
RHOb5xxd0gUwgZwUlwTnuxG7VV8jrSc69BCKyvH+MEPCWSiQ+oj0gmPJEWWbIb/I0OThH3DiNfe4
8rIrJQPsjotn+iMHS5VaO2l6zVMz59r/Zu88ditntib7RPmDTPopzXHy3kwISVVFTya9efpe1O1u
/GigBz3vycUHXEgl6ZyT3Bk7YoU45Oyk1GHBFONem47AAoTG7apAh7VwR9pkV9ETDe8UwSdQOHpS
wO5yarUmP5yO5mJGSiZyTYMYTZo/rZoRCnu/2xzzZdAW0vaYEInVYcvNNx8bk9xL0nEvIyjXwyu5
hjo5emXBDRYDlQLrIZ2yuyK+757kMo4iMoHnw3AxzPjBU8OsHbVV9z6p6BxG5Tfr1NpXJAc6h9V0
ubj608zjQn8wWyvvj9W6VvK4cY9Usy9wQibwIIphPi2bt0kCsviNr+eUNm5fCGrrn52mWmq/IZpK
C7btJnPUDIMtIkPPS25qEsEIwH1fb+epHcyKnXjJf8edbebhOO/WBDev9bc8F24RxnNh7eyJhdCk
sQnVX8d55j0n69AgtOYxfCD2z+2rC2aIWl7gh16wGLFZ3JJoU+vBlUZ8jk0egLga05KGxkHZT11H
jM+PjaJtrjjXGTYq5SVriMNN7pfR2vrq6p6BqXVdZLxCGcp9Z0dr/o1renMxwWyTftBECVlLstmH
0psv7es0GCTjZLsUB8MQGKubckfMrsVEugTTOXc2tKGZmwdvG/xBaZMFdkMw3Df6OIboMrUkZ+xx
J1Fg1VThpiQfC2A82aXZLHBbyzSoBxIYSR2JsYzbUPAhMvhYeaNxdOomeYMC1fFNCpHifesl7Adg
Nu03qr/u3WZ5Q8ltJe3VCRa3WKEqjRMx4W1LHRgEc6z/AbbTVYGpcKjt+wrDAE8YDz8W1doam46S
hxHaCx+GUXRrQzebgReW165YTxmmFfPQG7VQBwhiygvYRG3jnWKwmkMnLZUZaYRu1HNFtDp55CGY
4/+x2WQEPN/a2zX2EJ70bKgoLJ+1dyK9+R17Ywsvb7agoCd5X2Rn7Jag2zxPSPdFYqy/8NHVPga6
45KoU0I+1QQTvU9Qb25yaFPTApC3Y++9TyNJq/TeIEJr5f6k1xvfp9IAFuIyjK02PbaTCQar1ubu
TTerrr+HgdL1ONf0EdNTYqVnremIk/iIOSnLZ63goXxwV0rxzmSRNfYOCFj5tSqZ8g6dZEl03yaZ
0z/ODhFzRJ2hE7jethaPJB6novsDyo+ycNFmeX3is1mX0Wz2pvs3sbcsPpTMpiCUiODDv1nFglQ4
zyBdkE36+hHgCKso7EzlYbFxbwadk1THLXO0z8wVZh2sO8vgjAe7eHDRbLpQj1XxyBCtvaabOSAl
uwrSkVN1eajNZXuBfqJ9NJW+/IXAsP6rmQKMo9W16Z1a3EzdV1rVfueiVp9WY8wPslBeH5gJBh9t
HKxXrRvAvwAx0SLH41wMdOG4j3npiT/Ka7b3fjaaNly5IuaRGqzeucA4opeRw3MKiditvJc0i6w1
wIv8VK15Vp0MVapbUTtGWG+53GCy5MT4UZWaJQRe5TnYfLyePyGeG5JwbqyuCw//MPZ8Tqyp5WTc
YU2ADDTAGLjArep11maOVfL7W3wcKun0odtYVudb5TT+nb2MWnnpdeI1aQt5Xwv2YXBRsGuEfWfI
vwtGgPog28YYLjli6Yk2cEgFYwLKhuIbtzw1RRZ3534c7K+5cDETSupZ3jHBysKvKG0cUOPW5XY0
1fYA9EJ0wZgmjusnlp0KXxFf2KAlxuzi9LokrtPUefOX7UT+ZVAamPn8wmRyW2jdfVha+Gqp5pad
dkTFNZIDq373gaRT2z3P2oBTTB+N6Wt/aX+wnhoMWJirNN8Q/Ka+bpMLOa5WMd7MDoskQvaLeazY
IdLYkffJ/d4+7vh5vabvq8XvH7pu3tcUbMy4suQCOStMi45UW0Ki4n4TW9uFQ0/Fx2mq9uVU7Jkt
T3AHcDOx10x8w6+YVTATqt/DtjOQ1WI16s9BOrF3uy5lMYatyTPkGX8dq5kKF9pNPY+6HqW1q6Ia
GSc+OT37+LREUgpq4YCcN2pLAbfzPMz1Yy68Y89f9F8O9EaE8boW0PLs2uQVNTpg74jSuDbLhu+n
5HoXuwDQjq3jUePsrWtq+Wh15Ztc8qw/sBqyptDCJIxzr6izLcgHRmafOmuL/nVrxlkrdOISvuM1
2f3SKWhmRtboX32ilbgPtUxbfKso7NnfMWxfUBPi9wZ3H4tFlrkqiM3FeNlmHXtn5pHBwYM4Nl9C
1FQKW6SIC3/p5LRCRFsQde2uXz5dWcbJofOy7jHJnS0NubsoyFyF18zHenZ7jc5v5cB1tCTY8YJE
2EH0EpWeT0h7sXujWiOs/2Xjm4w83xmH4qPLwxkopxmzoJ5cpFVymft2Z2D6GvDeuBybOtEOzLpu
5xiH3ty04TyJAQl3dAvzA+pPb4TFuNG+2BMLHKM+XtGl0WfZAfIDahvQP9mflmLonnG159o5rksg
aQuCwcIud1PaLYlGzGC4GHlVoRukjw5zqQjnuICLtchunZBiMxUZHTrjYSM/SnRyKhhZmwyLPkkA
2yOb4ll5AGpS1IGJyaoK1mqEz7E7hW9zgMMzFoUxL0OW9wauT6x156xWkhlSFWmGmbtePsrUtBs/
xXQ/nWbbGR7jxKyHCyQqBEXiJumrmgyGMncxCfER6jPuWjXW5lGbof6dHKPKh8jIWwbgTO+zt3mL
p69OEqGLaja8TmhSAPcvrnI28L0Rp2kAIUP+m6zae7Kxrl40fHlsYXvVvU6GVrwOdMwoTpOY93NK
Mf2RvcquQ3sOycgE5g4s+XHtXue2putmcUb1vTRp81SDWHtBDN5c5nGlTk4z8Et3KrMIkABtZY85
J6ReVtNzw40tPo/kwq4f6mXKexaARIhYrOvtW19MSvrWotUXfO+bHabsHHZRRzmvFDWr3YycuF1U
6psHnLaa+Im47e3bFeQNLbB72ZIC6lCm+KR5FFjSDDgTK6Tr4UpSe9z6KcjdGwCVVhOib3Xw7Bbd
gmREfT0sIcY4EOKDBlnYtSblXVbWzlOkx7b9BMrNLI5Kt+oby423944Jj0bOpWJM1HqPgU5muakB
VGgJyw1p/RavsWAiInV0y8vZSp/Q0WCRJmNXZA/9+pludVeH9HBVT8OUa09SrvULT6BqCIx5iP9O
2dKyEM/W8d6j0a7yW4hMgvfa6t668dAvgdctyau3tfA5kpbKuYARe/mZ0qq+NY1lv3Pwwk6+tWV9
H004zxmAk8UimpikLqfWoNVnRbM9FwCrgceAUdNouWEt8k2Yo0VwyeoanDFbzh9/ypv6bOU2H52Y
gfVh44RkqTpOTX7wvCx+WskgfSGsYT1cV8JFUaaP6h87jRGUVbK033jVJpJdqdHdzXnMlWAhP0CE
qcf+zd/dI1InK8B0DeZ+vxw3JhDKz4wuTBOWaoSF7PkjSSyiA0DdrBsxc7aHcKCbJ+higsNZ0Zno
Y2Vn/9iSQKgubBxmknQcRS+TytNv16vVcto76u7qaSvTK47I6qNfDZJhA06NJ/wkdOQCihk/h44u
b18ks3Gc+4ViYrNp4ted6VeccbdUb542zQbR7lwffG0wxbVqV85QwjTeYwmstglNklSNz2BrcR9k
nmZqKmCdsl5JDJYzdobHH5O8w2iCUendhv9ztqB1536qOhBGXQk5Plq5LP7NO25avgbxcoyWRPMo
0tAruz9t1ELvUN+2pIRTDU04kV5c/Am4IDmQxSy5BcFP0QJMWM7RLDlz6SmEFBZQeOykxw57A4By
3K3PutlwOFuza30wt2CV0a1cYU7FXEneZhjYBzo55nnJJHAFs1fjadXHeQ1QRu/jh1GVWhXM9jh/
sDuvcWwDQ+NkzevbsdPt9hZZ0OOA6QjKczzIiokK2JCKRq6okIMSeGq8C7aRnCboKmKFS4b5RXj4
fNNqoG1iyueBnfXoVs96osxnbdQE1uHBNZ7SIimI9OXT3nLuMjRyO+89e4/AZ1/A4EiJml65fVWb
x/XMrVyOdIiXuMmz2GN7OrKf/Ad0LuWVy8b0EGNT/WyJbv1VclzqAzsyHk28HsI6Lj0gY+RHk1e1
sYqUjO+g2f9sIFfNXb0aJq6vaVs9vzF31FjMpdUJc7nK6rD/pn9TkU9pkOZpedQt4n8XWsS1qEdB
MnCIJIRTM3PN/2ZiRmqsakZgv9LlBtcxMQvgLT2zvS/ntbw2BrN5H8fSuE4gM4mg0hQXztS15ZfU
K3E9dcvwMSVaBjMcG8ACSigfHtsB26jvKi3ND5PUcy2kXpN8NFi5piZMouJvxoPdrOto5IhiYfNz
7A5P6hY7Pg8+xkL31nEK5wm3vHgh99x+xXG58WQ3suR5rPbbTB43OH8FlqCnhSEKWnSVtfFNVZeg
T7zJ4/swHKBarFxK/sjeTN9xNKmX2JEZen6Jre+UFBIz19BvutrvT71xAFy+DWcuqYyXnewKfo+C
qeOo5qF6LnihqyCvLOtE/67ZXjBDp02gsQS9oi9zDFONrlCWEpaKJLwGoD5usRH+p1dCkLNQxuNs
F60eZUM5mf5aW+1jgfGacd40Ns4Ui5pfPFgbvDBnNElVrG3CACpApj/UMRGlgEvb2jCocw5Hwm0y
IgZispLjSPbtzhRCfnjDIOdAKsHwyLnMptgdR+QlhYZyPVZrI46x44xbiKmAPMdm1hYaQoc14RR7
ceZ+1ey5ZDhuNB/5y9yYb1PXQM2yvdkdAcJqkKlmw8rvWMBCJkPE2sqIIPiShm1VeWcMCp4NJnoF
mO/Q/fM6ODlSjTlM+hfg35QiRrpMyZUo3psXHGR6cpo8AkC+JE9FpoY3XiBw+dqBLKpBXVXzSr0S
a5CFS7yhvc+LSixI2PVknK0OAHkEPDT9areCf6YGpuZddb3XCKCkS1r5jWfv+XSoCsDCwNTyyahT
2zoBL+ZPO64efE6j84bswI2wv8k0Pa3Os9cbmw81kWccWC2FGVKlqwh6opPbocugDkRmYrkSKqZB
eTcv33TIzVaUod3zXolgq7vqXUOsyiFPppzMBBtgWi+VhTnK4BZJkLrV+6Oe97bt222exxxasXTJ
mM/LC5/gzQJciWaSNqOVn4DNMjDWONk8v7OUNgedZS9/Cx1mN5eNFTY8JtAfc7CtC6bdReexl9jv
1s787rBF/ODN8gCB/0LBtWW2/qIegwoffrHhKDEwtpwZmvjsLIDFGdTbD9yi+p37Cx6n7tp94anV
gD0seJ8ep51Szo4DYLnbwS4ffjHmvQbRvHTq4h1dIy5C5xd53rc9xQn9Lwq9dfbnvljcrvGNX2S6
pYAy46yBpL79QtXzlDVmr3ICwvHSgDOWAzRC0rqJ+W3kWvwEngJEe+XEmnWzwTktDzmdyZ/YsbQy
0AdgdrsryZhPpHXK7L4n5qDCbkuBwRs4KuQpG1r8P/bOiycjpGDHb3GNcw7Jsr6Xm+QTMRa2+lc3
/TidgHwwRfBILTNApZgSg1zbpupFFHnzAoVF00HfQ7FX3Q60H3/h9oPFJfQ0/ULv+WNbTrgsubqm
eoHj3Jwnj1NhYsOA7qdA59tWK5mAUD+vx1+4vvwF7SeCqDt3ffj7nY1y7ptjgmdl2Clo8I4BosFh
sdaD+AWlLQpmmvaLTxNSEc2AIzjxDzfYtWByVPbduuFiPZUmygdvojR58wTiTgAmWQKdSxsktz5z
zD/sGjo9BLuAKpF3yuzCuinzj6xNsXDKPndxEy06EdVGboV74mie3t2qptddW62a+VtDeqIh2Ip1
6Mz1iHsobtVb0zbNX1oA9ae8doc4ssd05sVEvgpG2bcvnJgTjdQOBtCBi6b0cw7ofwYZ3W+5Gg2D
QAnF67hWXHsiE+fKe2wlSx6MI46vYAKKfmPhdE6CrPBaO5qLXToRjZXx/VharvxcuwvPQgJG7aoa
kZyytVBpsJL8fDd2+5736+RDEogf1qLG35fuVj/v1/XnebU8AaTGC2jutkBsWjgEcwEk3F/N2H1x
8t1D2P36Cftfb6E2lDijILngOUS6x3+YO+PqHrhVxdeEvUbIB79uxXw3LsbIrG0U73ZGzUtkeail
wOW47IZHk50rL1puic94sHBEQsrGHamQ/pLI+XVNGo1X37e7lXL+dVWm+DHftF+vpdptl3jfcWDu
LE180L/OzGE3aU5L0fLU//VuloZe/LBsRkTKKfkmgNfh27tuCHZuvGMwgNZ4hZiRMs1ovyfgiXE0
tA5CMycl3tEGZ1F5bnZLqWGNwx/912fKk6YbL9mv/7QXs/AOTVrqd5RO41At9LnXIgsT/hK2rYeL
Ve6G1o5zQnAuYnN1dt/YtbmbXzVdihlTqy7PxjxOg2+pzvwpjQQ7WAvM0eMG7dZvuZa5+M+01b3D
IW49rig9P7iZDfSkxRHfad9wUzItJ3OPNqxSJA7dUf/6lLVoyCoguSXaxcXL6g15YqldKhyztnuV
rCM5pEopptQB6favRwEE59MoqmshlBMHVY8Plwv8VnxjOcwXPk9Njbo/Nix0qOCzcFN6GZP2nBsc
sysjItboATqkz73NZQR0YYue6KF2Lrt98E9uaWnGOcrugFNzzswIR5ahH4CuWDXpZrjFjLwkg69W
9DNJCNLJPnS35c3CjY1wOEM8n2IyA8MdOLn1cwHxxFWP+CmXx2zMth3v2rdHwbIWM7G2ds+pkuZf
WWPlCnPVL1SgGyCytNjARCmp7vMwjgv90UhHpovY3ADS0oCCu9NIeFsEBA5wvU2sM1fyjvaWn9my
WXezMUw9V1UDYHoyoyxGdueiEAAW2GTE7AA/dNrrNflRQDwH2rh5z3NVYdCnmIH8tc3MaF8pu8us
EBp/op+H3rVu50Zp9/r+3mbE4oEbtoPSkWRLA+E5YSm8QwkgrM9LSVYZ/vcm7kh4yjTCYxLX/gxJ
wTuUXSO1CI8ampHRidg9Uu9iWAcSrrhvR1oc50j1JdK416DJYDtsuhxAAprGNSWMiIWD5PF4U6CL
irBBfdvCCsb9R0XlmwgU6IosjLlswphdRYMR2mT6crCdk1DlXhAR0ITmw49ElkFnf9kc+21zyvtZ
ttmMFRbnEajNZdP8NVYIIHGJtHPA9NGbCFgkSUDAdHkcuLzAZPP4oGTIpJiPAkprRpYeM5IXcfXK
g+m92u5xcETFGrTpnHMMhrc+T9xNb8gpS4l1U3d6X1Nr1+/NOUZ5JEfPY2Dy4ulqLJQNOTeV4g7t
pEJRw6eMtVczYuhMbZb+BV1b0cTASrA8uB336gM3T6hbWrrgFddxsDX+0HXrM5/bSgB9GHgojxun
wkE5WnwHF9i81Rqj+Z5YBhAgRbNxcDkXiptdvOBALjdGoUCn3LsJLT5zsV+27KQOXqwo2AMVFT9a
ZHm6o4cdcz/Fc5yZTmJwddUmTzsxDS/OgVGGW7RWik1cGIMd/VhPmZY+awjaww9IrN3Waqwp7+8q
dgX6Dv9qcddQQNMdGfYR6RtUz4osrcb205KmS/aCMDJe/pVr2UHNfXflkqh845k5SBYCLc/bOrO1
/sA2v8xPRlOOd7qN2/KWa0LcPmr0WzPM/SZbSNRM71gCUJG3/4Rf5G8SxvhNxZQ8pc1Dxs7BjbZm
NA6M+2RobK2s5B6OHx5xLWWffZNlyLK/2Zt2j+Gg8DOtjpZXPVV7TAfLy5rcmImp1D7OpjCY2Aqk
h+o34SPa2hv99Tf5Y4DSprvmNxHU/6aDqt+kkP6bGjJ+E0SLsVUfwGV6LWxGKViib5P90cHfKtkc
ZDvaXTaeCrS8GoBTYHv+8CahXU0tZV8RyIb8n7c2xfuS4avz1VaOP541qu4PtxjMWIcUvLX50XBa
Ae+bJQJyS+iwqsDJ2R6PiI2YahLaJfCAgChHt17QxhqIFvbIAjF26rLnLoOjwHcWxQlBtog3SGfQ
//KPWCHllm0Pyhz5tk7iZ1YR6cCdau6+ZtPh/BCp0ybwngGtHEHlU0nAXdMVQevFmxWUmApOCZkO
HSXZy9xI6zAvRTlPyqcadzuK1ybG8+I55G4sGHivWzr2dYgfrumvXBb+RuRtepsFLQ+IDSa6ToWb
mbp87GPCpRsUfKGtaPYE/S9Nxy4yHBiCUrRbGy5BJ1qtOBTlaIizmi3v3mXYqyJH9DpxaTvNqXZB
l5laqFMJI9aX5w3j9qoSCE7nxk7VBvO7Qzj1W0cqru+xW91lwPUJpzt8NnaZGsIGsGBycjxrKpSw
rq8Nyed2xBidGju4xKqpjzro2Tymu8Rkz5cZBjIui6rwDrHiYcaeyBzIOxV2PCATpn0KEtBrGsmO
cBvP/E/NPtktF6erfdzSu1S46gZzS2o2+zFNA/KFP5ciK6InQ+ljjGCdwhbH5aOn7P7PwGPqSWzz
boUXxjoFerooMyjXva+H2J8TYbUd0RfreKlCHa23Q8jVpMVCWx9WnzhgjeDRLOxQoS258xUMJs63
mSKm7aiPYAwuOkvum20dwK/nTqlD/srtNLCLCqqhzCtCiWY7AjfK0nIduEfmyO9jJ7Mjziabb24W
zfaikgJ4StrYRhpi+sYFHCS8L5dzW5T2T+M03o/eDvPmz3gWZg/lTTT2DXcHONED3oXWB+XuVC8k
dof0fkedq380S3RQyue8up1LVgDnCb0UPs3CTgCaoJPeITFRf4KOAoNQF+h10MpR7WuanNQMzXvZ
euc84LRcHmO5zAUkMBAbR57mmn3IOuwD0aK7iP7DaLHZNTNKT68pA2WUJ4GZakeDjWJ6t3SZ6UWp
SX79XfJQrO8N4cF1sBasHwHSBSqgkdntf3xh/9/BTBMltqj/Oy32iZHuq/ib/XcL8++X/M8wr/wv
XJwObmT4KiYvCd/sP2Fe3abGEofg7l/G3sum7n9bmKmxZGuxOyMlRmV8oHzR/wrzOv/lGGSCXQmf
gq/R7P8XCzNf+H9aFSXfxuVHsKBRwsf+/f//m6O179eiK3HFBHHHgPZBozUqfo0QrkWCeGMRKNnp
3Cw9pG2yRFb5x8W3SYJGDx0UnhOojrULVg9mQiC4eh232Mg/1ymrzzGD1EczD6OfVbr3nlTx8lrl
Pe1/2vZsIUbBl1lRKYCVPm+is45c0sltGU7xl7kxv5rMIn2fnWmjezIPa6gR16SqxElriyVC/ax/
pLlm4czaic1aj9zZWuIhVgO6fe6Q/3Wdvj1YzlydmFK5c7Z2dzGH+rvTXikP94vkk66HA0uen5nP
iVfcp+ariuPqgfKfNrKMajpvSR+gf5t/WLNXT2afLXezNmaktUgn3jpsj76TdZKPmNe2BydP7fd6
1QpKUFxZHWXirbQ4zfZDXib22ZtsLAAaKRfLcoeLMihfsLwZNolwmL1zrvUUv/uMcPahS2gX8sCn
nGbQl+90nZi3MYV3AcV6fbXMxwkG6gHPA3lO6W63uB1QbRUTqGiTcopsBr9rg3TRVSXRz+DIDciP
CZwSq4+PMGrYrVk/emGN6DH6cl871nIzgaW/jrGGsWMWJWJ3du/CeQgHQwMHqOL8YS68V5nFeIsw
rV2NdBgBvBhL3076HndGR1GF3l9sbhah1oGgonLinFHq57t2/SxoLLjx2IMgkwzL0bHsmoyOojHB
yBO2nTXdebbVBa3d2y95Zn20WmLdiwECnGgd47pJUnWMM0Tv2cXTu7cKmMe1bn/iXHGpWCvjxKVZ
XCRTUWR0RvM10mnRY50LrLx7sMUob7gSYX/whn/Kk9jpMfDpd9WKblbbDdAdfq5ItCNM0XrTrrbF
mrh3mEP56IKyxVA1VSecIvVx2kag9VQBBNOwDK/67MyvC8p7MBWr9mb02wu38umKp0RyNZFKvah6
nA6SVoaQmBfLdu6WFTpW4M4EqpTVDSvuCDlf8A3IAw8m81MZc4stYfXCtFPazZaCfDWGbDtOTSvR
Yuz4Lm/c9kZ5bs6jrs2rOhT5git+WfFmMuM2tYM/FnAYzolhfdP4kmBbsiQ5Vwb5pn7HXsbr4JxK
0tjB1FrOXefhUw4QFprX2mQ/Qax99WuX7T8aXRomi3QuNGlBL1HgGSH6xC+0mfCOzvv1Sk6yPRTC
634Gk5o07oQblZOJ/mImRneOY4Re37FccKHUO59ZBBuHJC8+ZmfQyIDVgAHLViNVnj8ucBG4/qrZ
+8O7B8wPlTP9tozAmhoUxX4nHa11H2DMgcWmtvqYkloLMOElUN7szw2vwIh9THgR/Xc6H5Gc4Xpq
26vKSbzzjKUJrl2Le2vbbEL2psMJxA6ZSpStv6OKrHuqsmy6aNgTg7Qp8kiyEr+ydJNGOGnmjMG6
9wy3sb0yko5UhqHD33HFKn07luI8zlKQ6VLyhBXF/ErrjQo8+iyxFhEmL/VeHSAMtVeuVPJJcP2j
0de8JqbFJtrOPqCPP/ZN8SFgVUVwk+WtYwp1naZJehZF8kQb2Rop277jcpQh0TOxgSHEnDsvBgsE
1gAIeFyOIAOH3UpvksBCx89D7jVp5uKauzM3w8R0vnHirfR3LCApK9PBC9cXqE5aQlowtqJ8nGdW
1IZ93VWeyWdiAGdD1cQS4UPUzqQA7xM9/87kiVR0H62OPIjR/CQ2YtuUBdiNBBUAG3BRbIpNaRIt
TufrNR2LU0riOWdOzMSjpLrojgYkOHDKOBe01FqOpwBek3LYFz0h+AIVpZ0eHyY1d+eulETG+/lN
EI+NNDaUtO8EcG0ti0uqG3RJfm8bdIHojggNWUxXCQrcebQtViADgqK39U+mm93hd2ONbU0y6o2i
uh0LMd3PdC+9afGw7zDFJ/tLhmW2Dvck84xDZ4MNnOL32nLOrZwJ4q8kf2b4l7bpXsi5DE/Olh/0
tBiPyLyYBtoDrabalePxX/GarCrSEvoDkpVrVTKLy2J4/4w8vyftX0TYVoD0LskXUqSKMAnpt3nW
Ajxg50xGlCV/17nbz4DRMSRD3wTcWDF/csVJbKu4BohGBYmMbcuvcNNaLWF8uIQfqZpA0SG/PIua
ei2tNOB7LfPfjF4h33P09DRRw3fapLA+YOK51z1Z0khQBuSbrXk10VYUNTFNbj6pWX8hynhpeJSf
gXi1B3ab7TUUqhs4T+vFqTxmBP2BDxnND+kMJjSjHsnZbnW3yO/G3VxnQ7aOGhSO87rNNVVSic7N
fHLL4zKZo3bgmoW6XzYUoU3x9ALLT6Gfz/MR5od228zlZ4NT9ZigGJxtLIJnO+3+QYhD90gZ5dFu
G/epgCYY1C5ml77Nkivh9uLYD05vcqlKMAqL2Hps0XNvE29U965ps3CnGu2Iyah6pI1HO86VZ1/G
bWC/CRz70LajOm9r2VyleryeRYZcRpMZiLwuFy/alEJ2beb5AOGYpx3ONTgCwCm2F7TMPSbrqv6v
6a7kmjz2F2HXzix/eU58FzECpSMG8+LRiEnbkRhe820c71l8Y90b1vlPrQzMZAClkqtcK5ObKi/c
yBagPOfp2pGlcYA5cLIAhx9AfLVnbVixXJBkNvP0yVKN+aeYMXTZPLLPpWZU1xO6YESv1BLFlFji
BHBLxy9L2yZnLOK7BWHs1DJkhSmu2dOEp/8TmiajnnuWrne1yPXKZs9emOJgt9pBI0RvIIuDGo0v
RTaeW9ypnZdfjfQDBO3G4T1Tv0mYtLyxqHPLktW4NFzQfUExEagRI8yKsbwmym4e2r4+FuNy2dCV
HtbJdh7G2K4OSzU3BztZf4QmzrGCVdoDN17W+3W4yrjXIqIdDZWHTp587KDiyFqaGy2rb3HHbEEv
1qvBEnmA34Ocg4Vht9hucG+Qea7oUNLYnaxIrVs3EHsbvrxi5V5cTOIoe+hODegRrTxVwjyX61aH
0OLC1vN+sDDTO5bzJuYzcsgq5j7Rjd6RNUA0FvM3AIWB4AP+CnYaNy6PspClc4UtaX1cV+sRH/rB
XvhLLr1OVVFuXudj8TIl3RbYZfPspi7+SYepK2musA2rY1bfeSuQN/zdR8ggbKsbSALcKxHHV60K
62T60+lyDnEboffgvEVswf5jgGRxmMEJu1dnIeOfZvJeLfuyyvGmYvT2a/z2kdCqR5b7/A4TgS88
zwN/57jEJaI5HDSpw/ORu7+PYxG1C/WFAp/saCb6cyFAl7KDDzfuE3c0SP1J5+VqSYcpZGPDXshJ
Xwc2SIU2fhp189QM5Z+pS/7FRRvNGnfxugAuOXVHLq9kNnB4hoaVPYBaHQOQK0j9mq0OxsTwO07j
9crCO9S16mImZApGALxtOmZRD+71UvLiA0+23CeP15sbwQSAwigOyfSWGgq7rK63rxulTrSG3e5d
eT41WDQe0aHTGOUL/cFU+qn2NXHkhf3khFTCzgBUwZLkYawnXNHN5qJD/biD3zC/yf3oFFPgqW8x
GM/UDdB7kOrZNY7VwGXYoSyNQ308dV37rKxMRoR7avYAFoH1Mr+tkTouQq+t05r+D+bOZDlyJc3O
ryLTunENcMAdwEK9iEDMEZyTDOYGRjKZmBzzjAfTC+jF9EV1lXVdybqkkjZtdi3tpmVmMEgE4O7n
P+c7Ed1ZfPL8awWoYdViiP2tiYv8pEmLsIZBbD8/suPnopbdpo5a5rlK4BCr7jI+ipwvcARI7SSr
IgbhxwrgNt8Yd5Zt1Nd6XdZ80oVDbJxmPsDr6cAGrjDuxobwQKesT767ozaMSz5QNeyqdrg3h8z7
0XkKXEo+mXcu0R02Rou3qQ3VrDNeNmi8RgLw7ds35uojevlwn0M92MaLLncDU19UnMZcu3gqL7Uf
qR/4dEitKFXtBFLLpqueZhvjqfZ52HkBoaJ1myLggK8kcP8xoDRpXIYjlxAhZD57Y0WEvlsrR9yV
YXKs8GPh4CioVfNwJg/p+9x05X3aSUF3+3BkpMjTiQDPNhsjgKXeXWL55ql1hnobNzXhcuEoLFKj
xU0AMkiXl9ntf2bmoLbOtFyo2WbRw1xwGFLd7W/GtkNfew8sA4KES3jqxq7c6LKeqKCzOFvU4zdo
QBxJKjLxYBBYG5ld5XQarGjRHNj2N9OujO1LnLTIxTrdcpJU3M4EHkY3uWrwH92SU8Cbqya8H8xO
XdsZzzI+BJ5vhtNuYqP7pGdSrbGR3bRH2936TILbqXzBHfZamEy7iGj9JsXxLMrsiRUxKJLEWXGf
HrDbAA0WyqT/DP9knzOjmPU8r8MxZ+F1/HC1jLzPym9sbFDLYz7CrkbE/RBRdnOTzkaQpYpNhNcl
G1iw4kty7KcsIYB0Tkl9IXdmER6LrNTQIIZ8EzErQfiq8jdL+RuwZtaxJeSGibxiJWaOiJb3KugE
WdP6d8xo36y1T0sqHbu9b08A4YkpuQsP1iU2noZZxZtFyov23A0PsDBojVjReSoB/oXuO1xi7DJM
8i4N5eibIRFfnehf2Rzd97jkH+iFesRugMTovIsUNrEu2AHlGHA8qsjYmaTWLrbMN8x5GAGcgr25
J8JN3YDgzprytfTpqaNTwLzYKmGeyAK8Y9tZfXtJPh+ZRFORgKuWQx1GPVfK/lefWswDuU2R/Fpf
e4e5MNJr6XndBdxEv3NrECm3QnA+8QTyPkg8ix0pGUJouc70EWEzvBrLYL8tM1wUCej0lKRUnES3
vj9ao0tcYNGym2PMQE2zVD9Ezz0W5i3yrQcjguEUBPMHxvcxy9WcrCc/l2+5oUdni2Z+pc0OYWDh
Kb1yTYFsjUtsvlO1PW9LU6uXKu+/+qnND1Fa5se6FHKNRYvJ58z2uDCgzngRATMRu1DME8c5FH3n
Bm5Xuo8CUPLKzErzwFMveYETn2455UFBgT8DI65za5wKTnvX2aKAk28aHzi3u8e+84t153TyN5De
/piB1Lj4qT+94LEp9iYF3xhc5VKsGHdjUpNp/ZYMk7nvzCU7cDMO99xQwlmLGSOJqix4t62Th8+W
DIlnVGVbblRV1E8AYdOfsK5MTl+N3MtYwJGMAX+Ufr2cPI4DuC8410OKkBs7h+WhstDbRmZo7kg2
GEGHPL91LRczUVVRjusT7NmNDaA2f7LKkzYw9bZ2qz6bynZPVt+CCkjLJAXii0XJaQe+6NJyIw62
rTcUtrKMT4WTJxtSVaG9MsDEcI2hmWExaLZ1P3qnLJs8c50PI+YRhsjLKsa7/Rf45r0XU2w7uJ5h
rIqwHU4az/a7mnPz0kQdRNVB6oDIJ6STyDegD1FQLIqJZoUkC7dQB9MfzDI/avS7x8mdPyh5ztal
4xq7mpTMQYZUSOL2oy0w5nGFYO/cLqGzIajM7g9cEJa82s4vOTuUgCADQPflcMtRDt1C+I0jPvh2
cO+82fgFLn2H2S8OKtgrv2TvAjt3Rj9ghLrsE6P29rKqYOgVvXnwfWm/F3W/Tgv4cDQ8t/h4bXaW
6GnGAzWbHUymKY+Phtkm+8Zw/K/SLKu93zfGZ9XPybYrRb9TTVzFm853xA9v7iQe8OU7NehrLtyB
Fp4isqkEQUwaUGjW49REDwZ9tWtWeyOwcq/Z1+40PBBarXFiVe4bTxf95g8yeYni0L0zKRvZlaK1
n8I+4hmgYbE/peRvD0ti6deiVncCMzPvYCpGptXQEJ8zjVeDoKdj+GyvxFRg9WCKYE2V/WbL2LpM
HkOyVRI5nMDKkAwEZdXW/WQ7o4sjbs7OWdk3LuWoRrpzIak/RHCYnhxUG2QBqft3HIVg0xNg7deR
ZQvQD4+E51il1H5LClQsZCaMDBug6d1J2+lfeQL/1GzgH3JL/kQ4+Q85KLev91UyAE+iuGv/9S+4
0Oi7vDFF/vSbDbnNbn7sv5v56bvtdfc3xsftb/7f/uFfiZ0vc/X93/7rV9kX3e3VIqwjfy/0AxP4
P80Gvv830uft3/zbcIARgPQkuDDXN/GAOLcRwF+HAzYQE8kNIEAQ48CwyKb/rUmOucGtWpJDqaJK
xnNJkf9tOCD/oEpYgqfgP8g5QvxTwwG6bgiA/z2ZQ4CV8kyHr+/z/lx1+/O/Gw4QsxnU1EtUEsPI
XrE+h1+9yRGcNJOkXAbPQDJywpZ+srUYtT6ZcbOMOzkxPlv51jQANkQHoX+gj+N97ElO/hE4+/uG
ju+OMEihPnmcM9My3MW4q6x4mPcmUSXMsFVbi51nC270mVEpRecdjZo5ocxjm4b0MKABOLjqxK6g
gvFH5HVWuQFy1sXbESwITiKMDE/sYtNnxqp+zJDVJr7U1+bEy0wqURixU++yFNPE+VO5imFmjdYL
GdCmQSnjxNkGmY35oI9a1PBWMqaE5QA0aZX5iXVXVoarcCKxEw4pjc/RnWV0YmYNKJ/LJz7wrsOc
iopUQ9MrfNbA2nISkuVRvXhYD6m94wQV+2d2ic0ZKEB+ziaMFKuM73JeUy4DbT4UHJBWDAfLdjv1
gy3uZZRg19OGNjzesZt1FD8U3TWNIoLDUqgh2tdAvoYAY9p0FYtTP9kFl5JiGZ5PqNbZcCUK7eSb
lu7iK9Zu5921IvkKaGH8mdV+fR+qZACCSToDt1xz8ydUiIfFuoYVZmP5SoYe83A5ENdb9hVHtg4V
Gt249F79qD2VxIltw84hluIPMUxGGgYM1Ws+PTSOPoWVoAA4CmLf2fMueCquayc5UEOVbJAZ50Rs
sR1+eHHxaFrncmBt9Ja3Jc4oRcHUdbek0KCw0COnrzuRu6gW+SclaT88CjPWlFatKxCxcoZFOPcX
S3Y7lS+Yp3taG/xjbFivuv1Oq5Gw7atWybdTUy0dmdekL+gW4PS0ePdkwPkRA9FKwoOFWWI9OvYu
jNsrM2LqZECmjfOucepHi/m1IkGHyazY1fm8tkTJPv5Y4vGDisrZXolt3oiYDqn4Fug4Lx6NTYIm
Wqvz600a+glhrE68+JSSkeNayq/UbA/2xGfOGydEGFeTOipt6yUk1RQUjrUZRtN9zmTC2K7quOfY
JUhnM1izcVUOuSeG4L9F1lyUh7SI9nQqJL077BfGl3ZGIaVOuA9R06OhuXPZ6zsR+tdQHzr/zLA8
gPb3RMftJrEXtHH/zbc+zPkOlMk649ztEMc038iHEqOaQavij2u4kKgDInyYGXov0D2haUDHQxBV
+S1UnlOtTPOIyVRg+cnO9jFcumfbpVghVWsGCHxC7ICdXjCmd1rJrUfbAkrdfQuDnedk4NBHlaGh
Jp46eTENiCOaj5GeopvPpoCZmsozUd/Av9kazGIv7azf3AbwTtXsy6587o0fsf7itHCy3XQdzVfw
LMjx9RczO7oETkmot4CK2bTtGYZ8xQoKXBRv3LkzMMG2w3vs4ObAGOfGz6NvvdRTUTJ08D8Nw//g
o3Ya8pk7IiaaVYs8MLLH0Xf6dcKhn+39wKRionU+t9euVz2SHtmGCiJGrUYeVMVVdd2ZaSd5DUXg
YMLA3lXiQLVEMBTLjqqfKZiScJO28h7K506F47fs55g0Zi/EI7rSiJ9lxpUTZQ+J423CUZ/1EF8W
DGK7UGaQDKYsxx8is9Ok++lp4qXHenjH2WDB8Bsuc6ru7CV7E0ruygG6rCtQTLP+IBfvOWcSRChr
C0uEgcm9mSRHkjfbUhMtd/j0Dq2+M3Xy6cfeqrU4HkEgxtBt1xqbOc90f1u76pgNDfnLkNu1vYIg
/Vnn094t8vS5YNBFEWPg5PZj5Sb3Zn7G7Xom/rOrBv0yle4d8EsiSxnWzWpd1c2zmw5P+FIPjtdt
rPbBmOGgJxFZj+FMtdKxQDgYCtagtm+etUtvFQ99I4pecdI+MWXzR6qoGmipFeg3UlUY2wrR7XBd
2FSrIF1Fy9klDNJgTCWClNxTGXFeUvOs5cysg7txpEmupvWEAI4yzhJGlQ/lWuxzu4FvQQYmKxnN
tCQdHLrfkCUB+KZYYEqXAwpaI8ljbEw0lqR15QV2NfNQoa5vDVpn24vwN/E0BPZsDw0lPBWF33zk
kkmVOXh7t4J/PaibIszmPCOq6SBWQ470qGdbZJRtykyBHR13U9rslq46d/SbsanEmhks3X3SyXMb
fjXaPFtonl5RbjtO6RlBG5lOmwaHdBILei76T9yzZ8aGD0AQV8Jets44bWXFoEl+LuLgL8W9O8G6
xQ7QPpi5CEbzBCJrpew2sKhF8ZkTZCtlOPGHvXQ2cyiOW9A+2/uMyG+v4SrP5vhBySsoFOe6AE9z
lv5Kpd6pnzNmR85CzxexHaIidceI1JqarZvDJiw2faReRkeLN29keImL3yg0LvTqPsfvE/O4zH/0
jXz3lgbytvqqmQWlZve5NP12bI3ys3HmoHVfB1AmO0mnmifghIYehYEzCpnGPRA25RXAI8GIxHyY
l0gF8/LgUwEP2pL+J26yMjCAzpIu3Xgu6IF84SmYfCSq+RChwwVv7xdPXEQ37YmprCwLrman4Dq4
0fl2+gJb4e8j92a0gH5hJtfGcLle2Tkaa+vR0Lz8/GqaHYUbxCrl3dKkzYpmEJTabisbf80CeiOH
S+5USGekH/ezfW1h0JKNmg5qlBfcXL8ly1qGkyOYSKx2kFHlPO7L21qaAY7z7q3mzclh9PT9q88R
LCpzKjdm/7ELH7zIfZvS7IDYvc1DDcfn07OI8DnldKrNapPKfm1EkDDs5EjJzAuxo3QlpmGdMwbr
HeifbPzQn4tx06TmGyy9rwZgeZJWyKHtXd8hOJHynMvukM0YORfsv7bf/4ogXq2lTC7kTo5jlTHP
i7FdFQlc+Nl6kYR3cKWO88EmLscsTJ4jyC2cr6MEIsvS7NluxXcp35syA6bZu94amFWi7qdIIom1
WdJfJd5bFmsVRLeWrpS+xW76AGO10uS+nflZp/BAaNios5+w0PgqxXuFs2xAu/cUluv5J9N4Yigo
AsvwmLSUbHJSLLJ3WQzs14hSTAkUeI6+tMqQpE9UsTa9vZLWL0zceya/B1AvFM6woc0jfibpTS1a
Y/xZu8TiSFttZW5tLMLeqTE9+L3cdMCfbeZpKLKsy+WrIqCRJu9L9RYzfwd9nWAdxP+Jrx0nhbON
UPUymsi0nunyMMq7MeeQTSKpE1wydfQYKK8cpMZ9IupDSpp9HvhG5xNh82tTy+cR+eYNpw6jtXTP
rmTfSIsdKR2WIHpihtARBwKnnYO8GLZV9AuXSkBN0S1bise3Xd8W1wkVCdwpRZHlpgiZ6ivFx5OD
/2wuPzAsbfDZOniWH0f23Y8EhFQwJMOqXjCnjxD4sTbYlyoTr0P9zQhsRyJzME951W38sAh8vKVj
6mx19QnNbaPiszt8UIg+oxmHWIL4cewYQNjFdyiHQ5bfM9w8yq48tUzSrkMR79phCvQMyJq+Evqq
SJMYAsee86x9NlsdfL+OzJge+28aSXjudDR9aGgXEj4ojXISg2a0sSNOGBnnGZoGE1qn9NWuLfbA
xUOSYvCpRfdKtV59oPpq7Ys0aHgLqxhEdVBYyHduZz9DJ2bnFDAJ2Y9ut84n9P6a91em8sNtdxJ5
ANWomGbqEN1frWqC2TBfJHNGf0HJYgTSsYrrimchs5/+ppAsbvuJ2g0Fwf7V9cP4WBAbsSk/mkNn
O0fh0XFvQ8mfdXO0GXiFuCLy4ZR68WW2JEGdXhLpp6J4OQGO/4aht2pJa0wNZvyQrVDhc4QwmZ70
3EFhuOwFUrJr1mildOKy3xEMIW59fX0stmOdviQTF0rmh3j6HDWh7dS+kDzbuRX8DS13Q/MdmcVG
Jnagwi/4vvcdnbARsJBUO+u012vSrKfI1Ywy/VUaU9g1PLXuPs+feK/+im3yOo/lq2LR4az6KPyc
45m1LkVxSTFo9567dxDMl+G3nXCoEPNL02LsjMyzx8Pyjj7SnbQ5e47NA+518jgYPTw73ejYtgnT
GY9Izx9Wb6xqc4Tt11iZWNGWRqrbpozVZ462hMazDdK4cuXZneTPacYxFKXufqqr8JAhsDABNO59
t2frA0PZSq/afQKEEejYXGPHQuDH9G5K3XxQMYAn2HsoEMbz7GilzUMYmu6GvIlNmD6PimOhmwBn
0sXGU1VClVlbauYk3vwmqrEyAHwLO8BjR/g8M+9Ctj9FG4wJ+3rNEKVOLxFwIIAHmxoc9m6IOWgm
wrXgPI0/Y4/nuSia/cJWMedYHJkf1CTwGLA1jQZC9SujZ/tjFy+CO52AGGwhi54zy/RWMd4ZTTfO
itPNWTTcg12S7BPZt3tC3AO5Jjow4T/WjLG5gT0Oqah3FiyJRm/JJkDv9udfbkZRZVmFzRGMeHcS
bk+ammqab8OHGZFYxhnL8FeNnw1+PN4PY9qRdSHk4sUzwSam5bC9VlhTvHldZTxovHo6M2/AO6ix
cIFyVjc01WSf5IKq1vtB1nqX3mneiFztmeauZvK+q4W8F6ucAeSn/cijAb1eGMGMcXgDwn89p0z+
i2bT4WV6AJupgP+wWx8BG+0pcgUTprAVnDsKx1eu6nFERIhzJr646rFq6Yit1Aab88ovD2rufy/J
4Xbt+i0jBV4kdRI2MKJJgc6x5ZleY98PW8J6Xks4kJrXVdKH3W9MSaHY0/WFFxwXahNuAYt61HVl
S0++NaxMWEZTb7D7oh4X5N5IynOVQXK478ucs5QWXc73T0tokMNW8O9MFHjqR2sG1/0Nx3fI2bNe
ccRP0T6SE/K3KpWVrLu6ru6HfKqI4CzaOodFzerTcbcmq9GyKgPX8uw++L7HuUBUuNlXos7967hw
sthBgGJ22pRkE/lWF/w4cWU2t51fT3daq0RJX1rsgVVCQePtGG5m8m1m/a+/6HL/lET5HwqPf687
/us/FDL/M0qUN8fxP7Avf8U4fZY/iZq3f/FXgdL8w8FkDIgcpc32gYz+TaCUf/jSdWByCqUwNjEj
/XeB0v3DM6VNKySKhXT+BGCWf9waxWhuAXBrc8n+KYHy3wq2/l6ftJR9A0P7vDPqt4BE/1mftJM2
qi3scytWnvia3eLWWP0itbKwvjB3qs127We0BQ6Cz/gQw8ezRsN9yGsdHuIFt2EV+0xprYiYHMnv
59ieflZtXx668GYMnUr/lBmaJse5GC5ojIw0CeOWlwJyJHs/5VwGv9lI6YpDhUWano6hHY4TI/KD
Bwyax1vFQ1UM1niSttHv8LJkx7Tpuq3Vlsv75KZWMA3Saw+lX86naLDlyUqnZ9TC5DLxr0HkN6T/
igGhIGqj5kr2ZNokRdducc4+aqoqMRVSDeESCPLW5MuinTuPrFkta1YGqOXG1Pcx+RAk3tWCliNm
PXp6TCuT2Y1Cb4iomuVcUDs720mro9t1405HtAKBDBm+WKj7bWM7302Ld8Eskxs/yLEhBfjpUWlU
j9FgO2QAyrpYbTQcIYkxJi7Y2R3GQbj5huMwvYyWDWxp0m18NYvZ+BTGgsBIRm815HSQSiuZj0wY
WWdcazLeaV4Qn3nPwgmkBK8s/E7/PbK67Ngkc/Xc9iAAZmfQ+6HN9O+J6eM+Yws6EatbtzEJVvCi
xSEuQyi/RWHvOhj6e48Y6Y+xQSrgZBhd6ANyT20ssUU4WTvsy7il30IkWp4wJlhrElDLQWe+cWcn
ZgIjCqIMIi7YozKlcyfBLM3B10BIJvbJiXOu2qCX8ncZQcjEvDiyG8AUvgyOfBQFoE8F2v9Aaszf
ebVBTs5v29OwUOXR25k6qmzQWz1MxR7DOo4GLuoPoTEMh62VbS1GEbu6aKk5iLw0AFgkGbQZFogX
U4vgNhsSxIdXSi4MIid3NzexxeBxKdj0V3jfMvdzdGn0wQUq+dFpM3An980Hob0dO/ZvQD+JH6a1
i6lmdC5FG8o1qNr4loXPA3qZKW7I8T3iwGcDl9fdvgKZhfTp7/JhMF9tAg0vDuEi5pSWZax9M4zJ
h2lv0/Vq2MRl6lwJ3sV7urXQbmUkihOtyuwRzJZi0xzmN8ewNrWusY6ZZafD8BUNDraEyBZsw0ZW
1baarAOnvY4dUpGAp9UNle761q5YkOEUC9G+VeJKGsNnVAq8n/amL6HY4OhpSPHPSliM3gDawO6b
fooGxFRLouezQLrHuoP6TbM9/lxt31mYoHREWSsHNmtnG9K69x3a1ls9G7tR5QMeWITIIudH1A3K
utRkSgl+5tVeTWCnVnzQJFwzGVPNWc26f62JE2F3xHu7CWV/NYgs/xDwtYJwoGG2LfOtOU3lviA5
FggDz4yyMlwCRLWZKYRv3Kr9mapa/ZjH0yv0O3dPXtveKHH7NLJzsu8pWXvSCSbLuZsSEAVZ9hD2
GCScrIOunY0TiUemTf3GL1Mq7vE6Za9KTNPeZtDNZntwv+sptk6zRwdsbimiGqlgM2bXIYAHus26
c+6Yk7Ghewxdo+9AYebR2NYEFP3iLoafdYpjGARM/JtdCRluFfbLJ6rPfImrcvlFFJNtAW7FeVdR
GEz1sJqIPmKNAWnif9N0YgQ+r7cj6N+xu83Hk8g6hznqvK109iMzHExmyZjC+aJ7Ph+P7EwG/z4p
Z3shJNBnb4DKcYmCf0nXkCeXx9IoLl7UOIGNR+HAUgYQTEy0/6zHtuQT6joFCqNyqoNpYuyHldZW
QSrAatHRRnCFOIEbjcFE+9WqkzzuaJOsliAZhN54ifGqwTaelixPX5gEbXOQLcg3WMJdAiJBB991
lTEO2U2KdHwZ0lsyGD74TyfuzxH127RjOc5OVB2dcNnwBVCJFatP84PdI5talsBrMvMJiieGtdpt
EYpIPKIrp8slAVqMvyXflXnLnMUpvlTWvGt8Griwrq7Wd44ZPys6HCEIRWm/pd+VzmtBudma6VO1
ZxrxMYT2fDHmMjpLMuyMnuxmbya63fR2Z99obJFFdJcnZbq0dzPk2KsRWth5tJMfYw9iBHVP1UuW
uPPPpM49QtVqQjPhsFb3A/5YZynfha5JsMx32egDN+EB1QzNr66pm20neo6/EKN4WtCUnLnTHT5X
Zx1xWQ9atidiygR3HAiVOA+3SL6fxWiEbx3H+IC8KFbqYllYtnGLUI6ZBolHaIbOmN45hHA3VwaD
iKcoFNG9pnIa92DmPWqdoFP32bnPIuqCJAswDl2DmNAtVPdcDW4GVYrI9ArnK1w8Ug4HTFykMeh4
42nX6zcSI9Ox8aiw8RS6O56DkCGgC7qpKgsnSK0eh6RbqoMlKhtjHZVAliqSClYjKpWcW/mL6LW4
93VuPjb4rW88ZNu753gKi0e1R+Gl85G21fC1HCaZnpKy1g9TGH5Z9Pkem5BFTJXTYwRG5tmwhUvR
+YKlvO1A27uVe/CzZAyA08Xv9ZxIEraVbbxnRlQdChlOxcYs5MGtWV14Lnv8Ijl+G/Q2paWcTlJM
6p4gy4zFSFvVIxZaXElCPwzoacOWbdVirehdKC5c4rBedS49YiPCz6udmW9tyR01eTjWkgFmJkA+
qnP6SG/LBh+YBV7vhwjp/o3qQcbrgq0nxeSOWZMVYROB7wykj9SVulaJxzpY2c0pNOFMKQHaNW5Q
/puonQ5Wm9UYlGvcaznhAdybDHSEPxlfvEftwFWg5w6TjOfeRfS4n6KYLie4zQx4aTkSssHwQCTt
vMRAa2NtcIQfhc6wNfs5TJk6XCARxDujrYp9OeSX0UutVeaiDB8Hh0i5wXmZo/K8KIQfJ9uQBeW0
OlAFtRlDUhAguVA0QdbjK0ktehst5f4qaEvae4U/412s4t0SectxaqzmhVFxzxJikSAZLG+6UZ/q
hwFmTrfXzOU5UGLX2Mf47uo1/WcWSE8P7H3kYTkURu7tgFlGW8DdxnMWU3KQlKEyVt2oqldk4/od
hKLH+MIbw29t1731fCNWylVcubc5DuopIVL3Z5MgIq8sqsLFFtkB+pJbFzs8W3Sol+3vxjZ+0zZr
MwELqXCHc4HT1eaYKbsq//DtqjOR/dJ6l8nOv2scTEmQQ73XRS1GGvCnxtEV1o4Uq2ZHAmjScVrk
H44M23rIlifGDySUPQxN3Tgg+NA5YVJN6bHXimB55AzWHDl1244Lfi8N9eawl9xO0gy3eeTiCoT4
8+0BoMXKJ+zDrW0MH2uW7U1O2RuuRL2fiDH/KKal2wz5z9pheOsSYUa14tq4SXYucP0zLU7Zqsqd
lb8DVkpW0IDOjlyeo0Z1K+KFwwf20juaWJqHVmfRgX3KI7PgLfjEu6aJv0nbQ7wtnmrT/y708oTu
9WVnYmeUJq1l5SLoT/JeqFc/aO0+hKShNtNsHQBC0jtdUJve1gZPzlgdmkix9kzUWPEgzABQsacf
TZoy452Y9fI5pWHMY5PsW0DGJE23YazaJ9ABlr8Pk3KsDinne+OxdDvpPhpZ8kWzc/ooDLt7cS0H
MTzuYLEXYo4ejaj9i899XJd4GmkeJfAY5lANFxgYQQ9j7pi1OtqMy7jc+3KezZXyG8QE0NNMZRdl
KFY94vEyMsZHUpLRvPW1aQSxatKnqOevAAbxG2u+ACo19q2fJnuP/Hu1ijWrK7wN4k2RNrBoluj/
Zd8td44ekm/TaSKOXGW5TqBX3sVhNKxtN5EPjmgayr4YQRaTteDI47y4u3EdpmTaad1C1GB4jmG2
v1moBhhWGxsyCbslplPZGBYbHZKzYLCQMHLk+cPaa9en9MZzs0gOXPLOuTXAX1Xp8INoSWoeihmG
l8gVffU9tX99Tr6qmVProZpZXFPhPemlAwLaX4s8WrOY9DfLNIhr+G57BXpl63lQ9yPpHou8G49o
ix2GQT08xrU4a6d+UHW/oH1E9ZtpNPZTnSHt9wKEczGL+KLqJd44IFtR13W+a1I3OkhhhLvSZOQ+
swW/B7IjLkQOxLbOgSbgAWMGk7r1Y3oLtZBpHw99iyOSSPgF79qjKxlEON1oHEboD5dwxgNvmoWf
oqfPebbtkiF/WroJJ2tp7cfeHJG/DABWM0YVdty9UdxGoO64CtuWTvJ4Sn645KNWZRT5TxZ6zVsP
qRlZHQgjLufRbF8az2ciqciV3V4gp5oscfglS6LHJBTFRGFKUSEp+kuAmx6Hw2IpDK/EHWKnuEbY
pu4sxgFRMIC7PENH99ogqowrWlK6gU3B1Qq1eYTtsxyXYeHAqomHehW8Jia/HCPT6AFWAX7kuiDy
I5cOOzj8y1rRjwdYa/psiD8HaUcxGl2SVf2rqvLyTXYSoHs38RxaRbcBfJkwAiSia79OtWeh1qvs
eahnMxiZ5my7pdGHyV2yCynjFz4MbH56ohrHBQBQvgH0la/LycB50YfJBtttyfqccn3juu1XnD8w
V+S0GRjhNJFT7bznBlsrQlrSetecD8apHb0OvaOqLmDQgNU28/ziLbJau/1kfIYLk5e2aJPfVqe8
K2Sq9JCZ8M//pZQ54Tbfw2ovrfh2d7Vob6G9J5Fs3TiRH5aXjqd/6V3I7AgdkpCjP5C99pFFI3+6
owmYeFqPI0L5EbuF5JFjZ4pv0Zr/H9gCL/8fFeF/0u923+XdR/7d/q9t4/8ZpTvnH7oLX7+b76RI
ou67/S+n//Hf+T9+/xX/Scq7vcJfpbw/uA4eUhkoAo4NyL9/k/IM7w/MfYKWNVfh8yPBRWXbX82G
yvwD0jsdbNKmj1xCKvh3s6HPH/GR8hxfmT5uxX/GawihD6nu36U86Sj8jA71Zrwab48v+Gcpb8k6
yix7C6iocOc6XikoSR6DQ824oKgM39jNmYYzySpVBnSiWK9WXidbinYJZZmhm9wtY+SRKCqt31Nb
lEeEmehAsIH4ae4mL1SLVJsJcmHzvCwL6XNwJw+mgZ9IzcK54kHhxOpXmHDYzJA4L+VML8LUJT+V
lbqwdSv2G3YHjD3wCAWYHCInaghqnTXAYUHZ2Ds1Gs7zmKW9f58R5rsB7NOuYAo3TWEQ2UM1HPwo
V9aW6Kt3Fb1nFEHZIQFsaE+gAVOFuf9dsXEDNk4yqYRLZxCa8mfTmnYNmB7Iqu0tUgeQAQdEQQEI
AUxsNPJguM7gPQk/bpMVRQDTBHEld1124C2jI9M1ND++PqqDkYbwXZGPnv8jdGRC0F3X0R5+6MyX
8Kf8PUbFvx/rG092Bhk24C9gvLMIzOhB5d36avL/SdqZLEmKpNn6Xe66EVFlZnE3Nru5+TxFxAbx
mJgVUFAUePr+rHpxM7NKMkX6rqpLSjpwMwPlH875DmKVu4YJFArpNatpSxuoMceGwJh96mrUnMpm
0aVsr+AlGcqo3s7phAougCeHLL72l5/jegUoU+QvARqfNtKPOXki4w3uJtI/fBWxeyicpX5pbRI+
uG43F3sUV9Udpn2kI5inZ3lw+8RBbFL4CjwxYrizTiDwECy7ygM+NO+7HJuQdi8BZ3oYIfGwqRlg
sMChdxHe1MKS317lHWnyvjKvawttcwtUnFRjQi6S4WakZP0upFmOtKeYeNikkU6reOXaW7QYMaKw
LKq28DDsUazDkp08T8Dmlxp8d9m049NkaV92pg2L12SMNP5311E/WGvbnxOKhi8tuQh3PkEppz7I
olvjVI3DnmeKop1NJirrXIQrEUed81olQ/OczFNv0EAU0c5r8v4WOiXBxAVBwy9d3ehD2pPnuR8X
ttMbQuGr9xYY/qPG2Rai1bTDCa0X/N0hK+Fzq3VKP4OmmH+0vQPJIYmH9WjaVqQbps4NKLoZt+6e
KWyfb+G5QzpzFkVrXFansHS8916aJNjVcdr+0mkAFa0ro3Da5G3DYE3b6BODChkcnkzbq0itO2r2
Av1eYn144D2C0lVUYsVoCNELaS6O3myvmhprrfHS8jN2GH8cc8Y4B21nexfKwHusQNLZgw3yGQmI
LBjuDFeGBgoHNuEr1FKynNqgvkO7uTCe47H9Hi4SCwyuA/hUf9iV/IfUxL/AU8jP4uQjAjJEKB3S
hrE4+aM+uiGMXcB/Bbmpd60Qp1Bnp//FFejNPFoRdNjJ9S/48flcqGz4v/9H/hd+/F6biiv0YJ/W
COdL+f95hb8cvElnrNd0XKGhs+QzROPwv7kCICe8Q27sRsFf0vAkDBVuF5QjJto5gX/qS/0PV3Cv
i57/9/ZAmxX4hFhBhUDjxmrpX//7H76mDPI1q1fai3ps/fkuN514WYcm/sA24chboXu6+AiYAHuL
WN0pHzUl/o0adXAW9KRVDyUe79k0H7ROfrQli2MhEQDVUHNC6qklKkrsLBfhAFHbybpCwvz3P/Sf
w+b4BNw9GAEAvsgY3X90fT/+4RP0wDj7sGf5DozsIsafcVKdr+Ct1vr/cKXrD/qn74orucl1Q+dj
IuD/+POVHB8qMAA+uXGX7jWNNaCdaH1SebPu/v4j/ecLeUlIdegyg/rLhdZaheQFsg32TbhrCHTz
bPteJPbL31/m37+5CKtXAkSJihp96l8ewhnLZrxcByeCABRvIrehVvHXWYUnx1b/cK0/xx9ef6UI
LlNEHKFEcUeg1Z+/uwK1vY+r3ENLMt+oEt1xu5k7rE3DLSShv/9c8s8l0b8uxoeirJZexH/K6wf/
wy1BosbgxwDENjO64Tp8Fx4u7tvEaZmRfEbXMdgZy4CHEf4fLpz4fz7Y/nXpmA8Y4aIlcBF+1Z8v
bZFNZ53CANq7gWFSMCFroBerCfSLiX5XNpm9LemS0U9WVPUZdsL67NkJO+8wY6n02Ta2UBuWAkYN
GRFb0M4KDHhLaAkrKuN86WxTH6egg97h8kq8ZWLavS2Jy90SmHJ8TeHwfU3X4Ro8R/DXZoiJSkd3
2qfFToJNA2jdGILNCi8kQN3POmI0SqIjL2UHTb6NrzA71NXT97qzKjxEmWvfwi6eoy2e33DPaDl+
DlggDM8Z/jVy/nqfREn8ocK7zTorvo9dVzzWFYNWZsgpxjMbOutZkKHkbzwm6s+eyRBPiYyccqjC
CQu7pGNcuQCr24Hrly92CAsXBkLnhme4L/1LvyJ/vZmh/RyWzhl+Fks2PgYqb28gb6kTaJp6T8yW
BHpZIu5m3TW5Gp1K6N1h9hom3sGA5zAOxq3YxFPr+MhJowg1PFFS38vCYbeymhUKwrhUzfzQrf2w
A3De48cjBuczjU17C97e2+V9L54Sb4gfpXbbXcvi/8J0Bh/ORDm1zdi8QokNRPvgJsw+D9M0CvOS
zddMlRKiJZibamjnu8EZMnubhcPkoD1KhxkkKqtGcxzc3IAhqfCj7byytS+diggMGIq4+pqsybnk
vDsF7Zwe8lh7TxSGyYtVnOFHmZFj1uRXIBYxeMw7SYoJZXpxdIJNo8FXd+mKStkzP6Z7GPDj7eY4
nc6Qt9E7Cc3CAtF/qV4tTw0sp4oNk3I5Pi6GBUuLOAeOwWXMbH1c49B579yV7XRizLCfwpK9V7tg
EnykeIi2/VD28YGAIFStI2kRd2acmMw4Tgmj3tPFjdvBS3u+NvREOpJdZOAL+eEDOvj+htkCLw+l
Fru8Vtw718yRsgffm8umolYh6DNOXtHj4vp0s/VWjyq8ZvdY6E1Dy72MFqvFabq0rG+oEFkRjiKq
z72d2CcFSH9qHO6FK9wHi9Sg/DEJL5T7dE5H57QESW1fUG6Un0j2kvaWLU10Q3SiQgactChflyYJ
XsNK6eIyegqUQFJgyN31zOq+MRgou3HnY1ZNdxNv9aNPTzZv4fLXuHqkjhiDaRGaXUt9+aGq5EpF
dQcLWdgbD0TEJi/4JaoD8beIaUPhjp8uM8uD7xh7ciBtPM4iCSmf/e63K62PtrTB9EOI46nU2nzG
COz2+JxwO8/zVR0n/TrR5HVif70KnqYTNhbnjagStB/KNgSwYIPOf7YmiZ/TdGJy7Vi1fmjPw6wW
dcSEJHlJNFoA8AToPgibwe1WcmQ4dQ/sMMYvKIzjz2XppYJSajy4i+P4OJmSv8MhkhgJVt+ci1BL
5zPCLgm3liQ2VOjEW2LJSWdQq+6cOfuQnZvdEndgpmO11ijb1+WDAL78s9HQ1SSpnD/g7EM7BrSc
tHta4X7Z+k0u0Os7cKqwGqfF24Llzds0AzqBoEkdvRMc4tjtCWT5bYHM7qrOI5Rmoo8PjyLpEC0I
kMnuQx6RR7cHmlMshIDocb0EfiHQwDvZgmc4mJP+5BRsviFVqfmJDtP2d/qatvnemICR6K4XDCEL
zPydv2PNTvwoJhPnkJY5eRDF7M6v/N1q57ux/RTlPHVfR7qlLSABjg7imfIQP0G5OLdeGSn/lCMT
FBvdlNMR36o9uqmVPUbVsv3JVLVeIHm6+gwVAcy4WZx1z4oFVMEkMGHnV4DaQSSqeFvTJnhTZg72
S6m6c9LJPAN3ywAQytXyHndeuF5IzRIsMyGFvfaauEVMr0o9jk6ZH43noYAwMiZoIOkQpIbV2nkI
WoCsvNWgDJDWZt1trTMd4RgiOfeGrZHV+4o41SRE7LN09oXer1zPNQ6Y9hCNq+s/RqM/NKhyetsf
/MI1xVMowmYvGiPO7HFb+Q3Rg4QZUwS9/2ipHy898N4nOrDVP8neuunJtRlkrsnN7qWvwmfVGZzr
6C7R5MYynQgPKhBNqH2/zGH2GWp+V4hgZlHIXJc5PpRmJdJjtv3ivo9Vi2dah5hYQCRmp3bokuwO
6z+mbdpwfbO4TvvSdFOCSMeORX2bBeBpd7FoyZHIrJvs4fs03RlcaI3rMkqQj8oxwxViUj0AY08d
BvdYqEJCIMhh0zzf8VrdOsGK8qBkfvE8JTwtJ5LS3fDEu0GfAgYvzb1O2uFYwPT7aDKXnJCSoYM9
pGBOT8TZNR+sDdYvKwdAdMjwSR4GhJslcPhyuunrUPKUhAHBcJWbS/BP2jyCWZqiC7N8GMz+BI3v
UA1EDCLFSbxnf1wV3yyoxI5l8Wc2Fhqi75IWL141CFqCFO1ECdkBhSRrfWBg9TFqrnmJCLAoRxCp
Ms8P8oATLCKT6ZivK+jBGvUtoaKTlARHhpZwdtmm6tnHJN/tKzOJFyTIjjoCejCon4VOovvAW7Jn
dq+cPQzY/bc1z585pmVJfM1k+lOfzqb8UmHJt/dQGTACDKq/xzRJRnCRDYIxka61IdqKLuqAc40h
wag8/upVQN0qexHjZiW4GVtlOZ8nUUF7ASSwJTivbr45c13z3JHRx0xnsFVNfEuBKEZWpAmzDFQj
LjYychoLYYVBVSdOPjuD6gLInaVjEeOz30ldSjC1PcYVkMxJvzCykcHAyD9lNcyGopa+Ld/tKAte
Yxpmy30o17K51TMRXZBwYN1tZnKRiBES/BN6WoMvayKYQ8TZCCpGCrfirNWVPGXENQY32WoqdR4Q
He/i3o6sbpqhyp5luhoSqxkGEZCK7GXXOCo7IEVcqaA6ht+Mu6cXgZVCFkV5jjMSJhWzmZ3NvFMv
gvw+99fqmNokP8Ax7rephJ2S8fTD6DeI4mrWiKcr8WVfx4Fed20WxhhoajH87kn8Qs2H4MVijUK0
Tuoi79qqRLaWDs30NDW2r/bphDruZIJovM8TJb42/dxVHCQGqts6LbcNQiYcR2AIavZYUKwONhz8
+otlfoIpkEXngNJ+kRd3HCCauYU/YcMCYHCXVL7L3sYk9feSlyuFwVVNoqoQmF5b2fB2nmz4WKZr
8zgvQI0IFJ2wvSVCdQgX16TklRbCSMlYQ+VetwKuufqfekd8dWY/jrdMh4enGRYH+RLNEBKyJ2OG
DnHZ7pPENlC3S+S4hxiKBjiiHJtRN1EuHsgrmtXZX530e+OSJycbVzlfaaPMCqq4W5yXSGGLY+ZU
NC1g5Xz5HMu0Wn66kUr771K3WIVN1DiGDXKhmxdSuDhCxr5DsqyTnFqLMe6OiHQUysz6kr3rtThN
cG8gI4K48GqW5grV7MRyXhgS3jiywMkU+xBmLrwxpi054Rmpm37f/1Y+VoeYyebm6m5aqurWYFFV
i/L8PRvgfMDqpR08SX1Fdl2encqkhItWiPq1Gw4jpfzAZIj4TVyRUMigaT6swcikWlYJQm3qyHVF
6J+ltBvVGj0BTe+B6awDMX/A0cCuecG9EQs9FKaD30A66jceuRgrRBXfDkkHSBFk3W+Z8WRtOZqX
GyuS1J6DNO+vXNLuygpZVPYD4ZI59uvaEdrlVd5Mqlecutu2lIDdqFHFQa7FMrOvg0v33sEgoAtL
WKlX81jvdeBAp6LN0jtNVshlqK/qtCiKlUTY3bpHiK4APIoVYNZN7eR+sZVDI44NahhCNOoJGJIT
WtSvuuwzdYnrsMXQyk37pdAgg4iDhthPFqhp8aBBmMEajlH1hmMxv6GpQoWFTlUUe1na5QdvgxLG
ztoQdzznwj1nUPe2lhwdrqow9oewkU5lBsG1FR1JeV2Z5faZOM2I4Rg6uEf8L/33PhqmO48NA6lb
+JXTNsGF7fZV2l4M3L4vYhonUPRqtsZlTRuOHJvZOEcsttEuXFqm6NF5TLuyeR1VzHiSDbmJ9r3X
VV9ILtLVllpkep6n2nty5nT4Fg9oTfaAwVdEJmK8hbHif86NC+oz8xuh7lY2nkhBilHnz2EKYYfX
pF9A7zJw6ZwpW+y+R1d3X0WjOkGm0vbamyBFQUmKhQkw2g/yT8yD4xA0fsPUsfpOdgCMhSndEXuU
dAfwOGlFFE++fg0k9fnOHTULa68ACAw0qPwoR+myNOe1W28nZvTQACYc9UgXWeyztnXBroRaw+wM
e14BQ9RdvNLa8KZMrgvgIaBmSMgTWOqK/5ok06GopvGwwDB77vAE7IXoIzRjsQeJV4n4SDh39q1k
uvbaLd3Ew5WiaukJgXtq9SDeNdaA7zB2qwdAuc6+nsOBzBZUK19d3UUM6OSVjlro+5ychXo3d9k1
CDS300cSdsXvuq3hs7tzguXDz2EVTQt9+Rjq+egDliWcPSzGh6X1XbQooRzeWj9YzkDvi90qsZsc
eOSCbFv7frhtbPiDoFHnrmK2TkILHqQnStL2q5mkP1B6YSNr1oECyPfSzHBMZB1hgWNAp8lSiFyc
wA+O4TQPl6qoMF4PntzBXCkP/On9k+e28upUfUkVZQI8KFwxCIrRXfuAYHez6NffHDQSA6UlET0F
m3kDeB8ITbUq9TFog1CIf80H8uZVeHE0qgY6We9HLKJqb3Xf3tg1QgdEyrdFkaTpRdLIT77CjXFO
7dwxo3LmgWQAb3B4ZdTksAHm8fMOVfbYkgzNefAO4CM5uHSSX8IcU+WNOzikLlR9qM6Fi0U5qeGP
Aa0IqyeniOevjs6a57DHexs42QzniPBCq1NM056MgGPEYXOaFq+CKIjtWbBQ2qqobh/GoQCXWiWo
LmKa981Av9fswjG034wJmh06lyE8lSzYGevIPjAHUFuYdzpBSrPHC8XZ2Jk/YFv0Kn3rwxniuMSP
AytNsv1jDR32LjLUYlhPGUuCGz0TKLNpE2/cKTsN52bxZ1gLS/mUS8mGxWJmIZW0aDoNj9xZdxNz
+BdT2/C4TgM4njmcGtAX5FadWjdlYtFi4e1TM4Sb1kh7wFHAiydaoNGRUWqm6uqgMVtfiyXa2iXB
+t0O/1KZ1HJ+gqiJcjHt9cUnTWkXd6wPSYcvjoHlXAvk0nkbxrf8Pw1J07zXS+lWRzQ/JGbIoM4O
WMUxWfFFYBMlfPWiZEJizDTq4Fc2VC3Cvk59A/K9HYu4fEY77k133WqC3bV4BnpExGODJMhQtkam
+rHGSfexwEuaDs4aC8JvgpnHZ+4mEszk3HbEDcSYCiHSOQ9yDaGk2Ots8IpEisWR1NRoORXlKJaL
ymTw2Ra+5DBmLroDFm+CQ1Fgod5Qv2IeWCqR7BLZQ2DIdVod+nzidTT2048pDVEl++GjL8us3w4d
nRQpCfBNzcSjEzkkO0w8U4+DCuJf4cJkagFs7m1HN1+/JCr1v6TDYp8ZgtFLJig/b2OeLrx/8WBi
DJgVLXRuXJZxKwubvS3W4gV4SYm1oYj2iVRpcejYS4NaqbkJ9iTGk0YVR3kfEI0oo0tACkS9jT2d
PYV6QV/YsR2n+uXOw9+8maeXdNWb7h0YAJmqzVHITtwMLYv3Q4WTzAwXUXfwTRrn57iYFMoy/fiv
1ISO3DtpI7dK2vwQkMx0a3WEsXeUschPVunhM/IbQqKj1t/1pi2W0zJKLm0Hj2BKR0waPVcHEarm
h0sqYfYoGO1ONAUxq40c03tEKgkG0R6mB+isYQ3uumJ4bTvzGcXYNjCpL8/+lBSXdfFXTlnJau0c
HPOnitvvtKRjjcXRpx4/QoA0X9ZCRdEZ4s3MaUvC3B0z+YXysKVpInI8v5HQrBT9Ux++0xuSRRJj
AHfRn0+nDF7Tz46ikiCxJG52U8etsZGoxXYx0ylSAbH/MT6ppveROvh73Yb8DjqkddxXo0fgSh63
YMMiQU92p+JWJSet0aEgZQSPs6Hs7O9yG3P6UrLhUynXRb0lqPTlrmBN8jDnUwL/0HgcHL0/koVc
Jv0U3UNfaw/xNEbXMF16C0QHgf3uGlsUR4Rk5sbN6yE5ptT6n5UpwyNY5erT8fy420XWlecU2g4A
3nVe7LHokwcey6cqZ3KQo1XaBMUcpDeJNj4BV0NRq42iTk4OWLU93M0jKcMZYWqkf2Ua4evkb/Uw
sASvkyb90LQ8ydY14GA2LT/Ze8gQNmJTVEIa81qWxelU+jdhw99/EJbkpB2qScomb3IxZxd5aoll
r30Gg54N9V2aLfFPBpq/Wrd5SsEnBaTTxe7DEhStPKys4ut9huXjBXu9ORbaLYgErJaOOiGl8Iyd
xt+oqGXjDE0oaS5LWZUBj0KerZt+IIfx6qlfPrMuJqWYtmd+90kB6jcpEOhb6amJkZKppXfjrp3A
FEVAzwQJfyArD2+Awb3rm7GCBA9c+VA6+QIbWzbsJ1GQTukrLiI97qKCYMYDC+YUJCI+dVT+CVK8
gUD24VgpEnSdYnS9TdJkS3LKwVzO9zkASohMOph7NgpL8UMyHJ+2ldMUlxKsWrBLIapFJw+Ms3NE
pxJ+InGQ5NpSOYVAh2pzROC9Vk+Z7OPXLmzEtDXc2RcTGf6OqMtEdZPYivwxHTBkAeKJv7N8xCTn
oEqdWsPon68MKeHQ288mHyyEZK/vPyfGdOvPkUYLmTV1743iDITugGAAxXLnuk8yayGApHg0X51r
tXvK4HZhqG0R746jUjC+neYBgO/wYnASMzfvhfy1FpCXZ4WpivxkhbJ5mL0OT3eYl5ea7/0wezpk
Ai3FgdqkuPOnMV2PtZPppyFzDXLVoKSNQof3MKaieKSss/fKG8g7xqnVMVAgF+dkwzn9CQJU6K0D
Vs7bsqvNCE9UJYp50TbWv/UIFkYKOqTvSL7FrkmJ+Lkgm2kXOmGm8M8G2ey4LbiJ35uV5CJieXOH
0kBmzbuGB7LAGzQ1Kl9S77mBMuanG+Nk5XuhGQdwNoegeuo63aFWGy7ZmHIwRxVp3aoG4B218ycX
Q52N6Kd/IX9Mv9UE4LFZ4431y28AZBLxDSiVs2I8TiEoEIjYpNE28ZA3ty3jwpdxWX27rdvKcy+4
mZPf9UjnuhGpQSqYI360R0+swAYTgp1xXa8dNJRsTOrTrDAzI/WL8htM+L7DV0PeHBHX/VcM2sFd
ahwcKMloX4SHdaUv66nepL+SrnOeGmfQh5IohAiTeUBMKItOJgczBSheASVaUhsrKX4N0ib9dpox
8IMyTEvvtsqb/AOJcIdd2tS0ZkJzP7NTTt6YCj5ATX9NZVARqRDm6PhtNnT8ii0KknE2NBqEsDT5
AvW2DSNkKhi1bhfFIOQiUj/JDj4sc33uIOB2N6ZUipUBP/W9P/Zq2hN4cSUspdXkbrS7OhlpGD4b
wkat44VQUAZ8/OLARNimV/WDUOhSOsViCC5KmQNiJeuLAf3C1gpFie5OxEE0z/31pZuNMXdemHQV
+Bqe7m8s+mSJztEFEced6u8LjYidDn91X4emVA+gvqkEK+aOfFV0byDTiAM/kiHFe0GRYAqivEDF
e5Zyir7g6y9u8YPAsiaz3chNMHs9qX65PGdJaQvAjS0slYp9xPdK9qo4aJzg9qMDV0ENmNi8OIL7
5GWrCxDHk5NaVnVMbZ46O623eVLO1ZNiPccni8esfpRjED8V4LLUuS4XGAuNipy3dejEg8iytd+I
hrFRUPWN2CuxCpo6N3QpdJIQjXK3Rh8ecmtSkZ0xxNag6vDCvZQeqKPEIVlIlTrPo/S/U3HyDQWB
hIrFruutHRAl8wN4I8yKZojWowvtfoQ3mpXua08pJreuB7iGweJquJ5x5i2LoyxkSxACtwtjh+O6
DifnvU2R15cRr9SrwXT5zg8n74poKKtvFR/7ak90nReWojXLlanKwV86kfdix9i5Dh1TYHtkztfX
qBZbXndP083YJFl1WrOu08dsCNbXMsBSsqvtPL+Ni1fsiHbxLgvj6ie26OU3Nfb6BMKx0TcRBC1S
JrRCBTYH7h7tIDPKJl0ivfdroIBKLkTKw5YBysNgInlpBOXAXT06tn4e2zTKtsR+wilJpxj3GRIG
khVrPSQMElUGAqEao/C3g+ilvhltN7KsaTgft15SDzeEjw7t944lzvLmhErmz0PaVORpJkQabxei
a4lsi7V9myZCX3fpXKi3wc4JNTLRoYQkzJ7joEpnbA6tInFyYDwj0YdFUQ1fvSxrbjqx5ic/J7Bx
45f1+l4Mno/uca5e8qBjrkTgWgqxwAuxVzHnEP2m7ItZbxnHdOIyWuLn7qvAycVzni/c4SX3FsYk
Xtk3TQNw8VyyZaYnzfn2wSC45hMF53gvK4vhxhuS8KlwOYe3th+bKyZoePFo+31gT1NXnFPQZU/w
CGdzwbepDnXVZl9DCqFhM4EO+OqUovBocIbls0eTHW1BLBbTNtO8XLCzFON8C1y9MFtJRsWwa2dT
PHpZ7eHHJda4/YBsaO9rMh3pxrOq/lACBcJGyGF8HYNQvy5h5LEGDjuHYX/RnuO11/luTRwXEJ1n
qmBDggpCkaavUPpTCDcXBnr1E3+7I3e+L0f/R7UYTXZPoB9lSGHi+v363vVLfteCu955rNx3mBan
c8jYBI93wOYAjrh2luy4hFc65uLVMcksEL6j+ZkkOjafkdDuU6mM+9MXXQKMufAm+N2IOr8W1IDM
Phd0ERtWj9Fp4Hm50UFpLuzcom+yM/GtF/sBY3WNWSpRfVodrRYQj6Kw8A7E0oiniWCNo1uE2IGb
YvHf0qHmhJ0MB1I09rhvDT0xW8sGlKVrfJqsQiVjv0c7m+wDlhO/eWUR+LR2Gn5OUNafg9H6Dmlh
/ghCDlUhtxXZPiHzv3YHxhrNv0Iwa557t3cfB9JtyUGY5nuRCPeL1KO8EIwe7PuOf6pnew81phiC
Zg+1Xe1q13aHZWgX7hIfVBpYQ6zC3uSU8ZnVz/zBpEgdqJzFCpqnG2+1l2d3UdBF78KQYztr19x3
1iSnAuPAsqvZQdOvyIwBPosxRU3K4v8nz1K6n7oheSy1YVJVE23TZyHpQ40UD15hkFB2NfD5huPk
wwiKe8GtuUfTGM+kDudu8zvNqP0uhUXreIYHPuS7tOY8PlGko4DNLVje2qbNSykHS8RBkWE9DC0Q
dxwQ2nvMi7QbTuj41Lkc/fAEgPt/TMgtd7RwmucFfQPrzLIvfwk3Xb+6Q8BmRLBp0yfGlctbv4pR
3OVsAPku/AaajPUMilubFN4voqLGY0rUtt55I3gBoNxV/ZxlMVMWhCzyGYt3SSXF1G0zVO6kDrnD
2jNpCMveZoUXvzV41YN9OJmo3w8lAOLd1DRmR+rNSpBbArN4Bzuqcw5UFB0WaXaEJ1Vna/26XBFY
k9PYi0tdRy53xSl3aHml3aL7MxI4eqMeg5giZ0lxizF5hRNAeyNS6pbrD3dIB4rqB+acBI1Ma+/y
oOjgutxii7DLmim7M8WAWNpb1DhBvaLMwsg3EE7RO8F8Y8DHMHWOGaTxiPc0kZhFdhHHJAY2GCKb
nJXuWpN5Ei7dkfMCW/QcVQUM7LF6zo1iLY8f/BaMA7ldDSbde6Kq0pL5oZed2H9mr51T8FxZU95n
MmRIjVAvQ1FCnV4eIuXQwtLU81ysfGEg0aied/PqEH27zLn+oacKkCoBY9O3gHRpw9+dN49DOybz
rmK/hRe5VO0+ZiuhnomGZ3m5KJKmOMbuaWHCBzPO+glEAo4ZVyg2FhMx6ElKEHYaj9W0XU2XXGv6
2j+U7eBH+9wNmpOJOYeJhxLimcUZg1/wDyHWo8BPbxZeNtN5DEPzYDHE8CvhfsoOGmhMRRyJh5YG
V1florww7aNX+u7drJzcu0Vb1843oO8ZccVatOSzqYrlzsSjwqa/oNfo9QOG64Bnw6pjSX1zK9N8
/Ux1ZV80/Ao28GtgLzox67DvSJvG1BxRYB26BJEnXpZ6umFy7b6HVN4fSM4XJvSBx9rB7+WnaVM8
ijx2afs4d3O194NqiinRFv9sq0InH/Us9IXQ6bnC3baQ0qv9pm+2gAe6fhOZkq2XqKuHcuILOlAm
SJBoVg0EgDB1V09sIfLlBSVBrb9Q9hAN4zR9fgp0Xv0ehIidI5G9U/5IKx8TJkM9QyJZDXFRTDCU
N9onx2Z/XeNixQ3jmSk9MpxnjoEK5ZJoeX8sHb6tdXTfIklIa8pga883Lr4i7es4BQPef+6OToaC
nze3pYldA8YR7ExrjuVmKlP2QwM7XXAU8d6bRwLZ+pECANpPcCkL17/gFuihYSGMe/NIfn33PRHt
qsjNf8akEuqT9ucOZq3BLUW3KJlM8RfPOdb/Yf6AU1CQOZqEWuw5cROEWLwMsw+wS/HPbFnd6kZh
YwzuUCdqtaeAnyGJd628W4ipRS4Q2+XLqHyiwWblffbxNDiIwVT8LUfZNMITIMOabX4W/8xZXyQc
8exfGKHaqCd2ZxQcXY5mTZSXDUkeC1YIiS4D82C0dOsJ90TyxAgTGYibxcXL1GhBBEoKypHHsAwo
WHzbTQ8NqeHnXE7zD8F79ZfX9lCVpwrzMeNg93qfl/H8xe2k/7L0jgSSeg20O13Ls4htIaOlA/Ps
EMKJq2R5QYuG3T1tYil2hZuMWM2q9Lac84og32GCNGI4qJdNObFMxmjhXk/qDPTLBsAS1urO7zMC
sXwvqPYrHFScxpkzvHtm9r/nigJ/69XgB6C+Te14LtIR+zi78/lprBzTHv9rnFdlFK40ZhyVBxxy
8qffsRk8onmYQD+Dn4uPMjTlhQwx++mWI+ksnhBf/14d+u+q3iiOI3QfMqSKEv5fpKGtldOVsOJt
XIymhXtHjCHt7nrz91f5D0JbdpEiZhGKT9r3/0L2EV2ZOstYso3H/y+c5wK+XtLes8vt/P+xl+H6
gg7/jyL+f2ldE9+NEjT2QQDv/C8fCH1WBzOBie4Kgk2I9LVq06e//zT/4TtLImhHSeTxecRfzU2B
1wHfAvS/8ToIt68Kn2byD2Lrf1dBx8IXwkNfFuDJujKc/iQWJop9Ylrts5S2u56Mi6I6CmSya+79
gzw45l/6s348FoEveZuDA5XB1Uj2xyspojgTvMVoSTqgXYz1bCFoEcCe/Gjic4E/8O+/PPlv4n6s
6diaoEbFqMjDqz3tjxdssQgTSbj4YBXX7cTwUMiz0seCHPXiLvtv0s6rOW5kycK/CBHw5rXRht5J
Iim9IDQy8N7j1+8H3thRdzW2Ebr7MDFScIaJcllZmSfP8Xcd5V5zBXx9vmIz7BkMm2rQmC+L2HXV
p6jpgI2jo/8FLfOrLmv2Wru7PLJzlDWcVfD1K6CsLVMXt0VhJ21YmYTQivM4tK+NfXf59yvzop8s
FQvEjqOzACSyyZE9nbma/Kk1VHCa6nXrlorsdvlbZJhuNQbwgOjgfVHE0rrvav1a8zAmt3gdRtb9
5a842y90GdCSgbNQTVtRVbH9I0+BdTsTySvNeMwDJLzk5gW+6dpFmvNJRcyQUsLDZZsf2Hhh5Cye
THuZDME5ad3TkZuJA/YyUEiSRzARlG9FTzRQ6/0z3L93I6I+bW8+ZJSIKFNADkMXz9Nga26tQQFQ
Tle1798X/vCy8lUL68FXaQbOgMmgf+D0q6p6pGpFG8/Ga/7JC/1WJgYzIh0uyvzehhvQH+yNlLVf
HDV5lGAvyVLtH1VXVpoYFhfEkXmwO/hX1RYWxFKp1vkDmNkyBXJpQLnjoLxb0kptK1cxKRjQPz8u
j/zMnc974Mjk/ElHrQxqNVLAzzAJMyEiaFsPbp2eYltbQUUcrJzds2MlGBPWfjBgNEt6jHWgY7iw
KWRaPCcuj+jMQWCEk2UZqo5XYjFPRwQgcozaDOoSeTRmGZYDFLW89bW/desWrbUW3bU4CMemN/bU
jI8yZIOunEfUbj+NmfwbEW9yI2n9BU6e/PVvx+ToMpcunt3UkUgVxlSkGrwThuVtpFA+KARLvta9
sotXLtzz/YcZh1ZIVdNMunbmq+xoM+SNryIHhM6Ypbw2cN1TK4eQpgSd3L5bheFeHtT51iOQUGii
mVt26N4RBtXD04LOgk86DasbHXlKZEV3yHs8x/AlwK+/Ym/++lPPg71ZewXXw7/F0xWGNqk+RfWg
BvgHXrCHZGhe4IzY6Jl/e3lkZ5aIXdgTDMphEpGCOZ1Haa5SZRHSpUFtPfNfQqnToQVRRsg9BlCx
XLY2n5qTcXEFq5o1Bxj0gtOidmpNroaqBYnHEYbVRf+kGL97+kAymeqftUu7dygKd5ctzitzZlG3
2CIOneeGeMTg7EhjX8YiHEWIItEmbfzyxvhvD7KtEl7SgK5xlOlVE8ZFmmlUncykyDw8DMVXo/J4
k69cgQsrhQ2btdKJYmRd8PsUsgqbVmGCMunO5hGvVzcWJFLt6+UJm5WExBljIFSIgPeotmkIUXPX
aKOtJCpxZi0pd/QiN9vSKofrZNCiW+icf3sarBylT66p6LKreKTdqqJ6s1Mjb1jZnWfnDgYixSRX
ClEax8GcvfTRKe9rRPwGSzGgRNF7gAPU2+1U1z5r0DZe8/glEaHDTH95Bs4nWtNlOAkMC5oAWEaF
iUZniCaIRqHo3jibuPqhytPeQ/Da/HzZzvngNF0z2TI0BIIkFHso/dEop6oByJcz2V2B4m9o3Kbg
LYrQLZzfl40tDYq9qaMRZenYFQaVal0PizfJgDgpnujdvKblEdxff9ep0tVlU2eumUcQnkSVGZhJ
M+087qNFi30t6iY/Qw8uibe591qXcGzVJMrVepc1PygKXrZ3fsQ1gxuL1mmTMhL75dReoMRaoUXw
28GSWd3KXppsqRrmN4MEweJlU+f+C1PIxKFyxW1NMHJqKoRQRzdqlDHpgI+vFfJ/m7CDN2kYTdg7
KUiYN741drdUxl8tCuMrbmbe7qfOTDPYKbMXsFT9bMcM3RgDUmgtwm2oRCVa1cqbywM8fycRWR6b
ECazUOzWgrZyFvNTZs4yadwaY95eV4C+XCT98p2mZD9ROS/dPksetVYu//bum7/Aocub9xqXnyp8
QZp4XqB3fIFCmhjuNdSbZnGFbHxPoN69PNyFU0GDnDETAOO5VbFFFZTwSCqPKC9pgq0i3cjOfYra
Cgzn/z87s889OhKVBDvgoGCHqte2V+49qtqw76BRunJJLO0QR5l5kQmU59zHqSEoKRHUVajElrny
XBb+jwjNkstjWThuNNtxzSm8BhX846mJPojBuSW8iirAaJta61xDHSBxM8qV3X7eu2yzMEeWhJ0w
0NZqB9CdbVqdrpvwaWLjBb8aCV4+I3WlijxF+70GewpL3eUxKgs+DNMGFwDJKf4gDBKqwbEBVsN7
U/kc+nCD3ujyVVk/9epBprimh0iK3cjDoaBPrXoJqjuK/a2zR0Flyr+vfMvyhP/5FmEa9KgJoWNh
GviWMT/4zUMuf0PWeqMZdzQhIrYUDp8S7xYWMoqkOzNGQH7lSlzYVkQEpgrKzGRziVei0plablZM
R1HBV6i1BRcWGIrLA104jCY84cpMFkS2QXzjt4BE6Ycmh0v/y281N/bgd3/ROLcrkYD4a1Mz5ZCG
m1GJeWeGo+PzWPp9qRexBp+9VaG/OT4XtXEL3uuHFxftiq3z5SMyNAlkdN0g9STmOqVeLUt4PdjF
GgqopT2z+NFp7Hz92yFhhoeQKpOHVICVnQ5p7AAKjUg6ogPS3QUDLIc6iOR83PH6XEmMfNzgp/fQ
7FpmtkfK1NZ/Ov+P3JmjQzxWdAF5hqi37OeCrP+1r2pS/5Y0RRnttYgayo7suP2maw1SZPBCcFtB
JtyPLlm48JpGTRPdPJ6t915V9L9gX3KmO1oPwMNbFOfSbZ7OalPNREFhTzUt+T16tDZtTbiuX1Ua
JZ/kKnFu2DJDQxzad5+LoKKNZdAgqKV5O0sOsO0NAFOCsPpimZP/uQ6b6CvFjOY6QpHkl2dFzTU9
C0O04iDPfcdHYhNKF0I7bmnhvKJtNWplCDAkLf8JHSiE7Z9lCP1R+RBF15a64vHPo8j5pWiTXlQt
9vLHhX60FgSwGpiJhrWwJ6iDvGdqdxul7e5nPSZt8v76dtahrlBJONoKb1R79hRH5mSTdmCldpDn
qKFvbXcG6irWRN9+tmLo3OXw2zWH2rpl0TAmC/tZNaquNqIY2vr8q6bfRubKKi39fl69pNE4AERz
QkBcOPQa+jlNTOOU/9NQ45566/WvjyRsLH9MCHMlRaha+8ABNzI9NtQmN5wW10LiHOT8ZUsLgwFC
RR5Omy9kTRWuqwnEemTV8OS2GkSVKiwp2pqJc+9MPeDIhLCrm6nre1q2bDot4dZN48F3o1zuryYa
9Xd1Lg+fLw/powQgOBmyOwrxNhvAoh5xutPg3kc9DprbDQC1jakVN0UMN27Swy8BdgRCHhAsn6Ez
eNGjwbUDukAQ9slpgp5VWBU1er78PefnzKS0Q8u2RUuMYxlCEs2ppigJLcnbKJn+ous+/aAVnd/1
VYRqhD0pK4+a8xVl3LRTUD6wIHI9exzGhSmprYxMkBl6d1Ft/Ua+Zlpx5OdX00wNw9OTbMKc5xZe
atQjvNwHGoa+4Pcwl4GaW3tJy1dW8nzmsGKCxCf5Y3M1CSctLugUHkL0b4pa+dEU2cGjw3aQLDqB
qj6jLc8+XF6qpWFpXIWkSmR5DidOd87UZmMnQdflWvnnrKB/NrTgkFtzUOcHAt0SS4eMChivpp9V
d+wg9isku9Ad7iBTb7PwkCkFZAx+/GIZvbISgp0/PWdzNo7KhPjl7FWdeJIFAT/0KoENtZr3Duhy
F9ecvxbqfdykaSTKxgyM7eW5PF+8U7PCKQR3BbcG0AuYlIcboGh7WvRubOgeBjiUcQgrCZ/zpcPj
a6qi8cTlOa8K5iAtyGhSDJAEGtqbupRpYBv720KVVtLHC3a4Kon/4CeiDq0JW0SHaa5UKopX6GNu
jJleT76Lk/fLczd/7KkHm+/jP0aEK4xmsHFMCF5hf+9jV4E3va0TFxYedyIUTLzfwVB9umxy4c3k
UFjHZ7AzdeUsUu/Cogd0OCDQqIbPQa/udRqlhkr+oSj+8xB3oILlN8C4JPDKbajHK7f22XZxeLLL
MINyHhSqVPMuPgoPWprK0YylxbeXOzjde+uHk1nG91JDQk2hGrVNymz8cnnMZ2s52wREwDNN5761
Bf8y9DR6RGYeulUEMaBpwAqEXw53fs+xuGxKnRM8J0uKLUI6rNkmflmbv+VofEFkG0AXkKwa/T18
GZsgA0w9vaJsclXHr3QqA3u+o8vrNkjmqXZTsG3DwUyjfRHL11L7UHm/LOva6FeuC/Xsvpg/DPpT
ai5oGcmik50qCJJLHe2rKaM3lQRYRETmZDXYXtBm6X085qHpgjMF7h5KZttc5blqPAWJKu3ksGq9
qzS00UWvcELjhjgSbbq4VJ97cJDdturGgi5waZBubajLdFeJATm79P0Tr5dpqb23VghijzJk1K54
oDM/68ga/oDnGnr0hILzljua8sRTu0GSq8gtSNfc8YCatkXvFSgKdvKVEvrm1eU1XrRHio2DS5aP
ssipvbiaOqVGHNR1guRGbb76SIn7+D19JXBf2LaU1KlMEOJyYMTnLhIrkLUg+ekWY/nAyfwB/8vB
l+yV23dpOHMSndtQ5YBYwolkvaeA2yhyk+ibYvzsur2p/SyCFVe3bMVQ2IM8q22x6heGshK0oYoq
tnzdTD8nmBD84Snsfl5em6U503kRUPkjZsF5n65NlDRcg4iduxG3xEEKjRTSHz0MIZ6K8pXgSJ0X
WjjrH7E7NxHPnbOzHpGfz6Hzj1w16OVXmCMcWISDSHkeRhmY5ghKFL5ASZX/qbPe2mfABL8kNJTd
pSB5rSdaqIvURZsJNS0qfKDnLbn2ftbQIXyeAj/5YVm1cQVNAkDWEYWJrzrE6N//fr7Icsi4ZFkh
Qy7kq8uW89jLHuqaKBV7AXB2J79yvL/GDXFEj80IRyZTvZicLmYAvNHOf+U3smvEMY2Yr5fHs7TN
TJ3Ut0m1nYqs4AscvYRxS5cYT2pR/c8GXX9T7Lh84aGr/ZjMAAd42eLChYYdQi5yOOxtWbhc0BfQ
WMgB0dQpph9J7qR7Fu+fIUOWJgJqu+vJJa2Eeguj/M+jl8cPb5+PO/7I40kIcJQ8+YFe9nARlr2b
8g4Y7fTK69OVOGjNlBCi2BM5kjImSRHnrwUtX6BtwRi/B/qKE184uCdDEqYRTtjG0DLsAFzd+nW9
s5rwqkWx8/JqLZmB+ZSgHFFB4g9hf8ihXOkVqGtmzt62SvXg0XwO/dj+shn93DPoDs9OE1QhnGmW
YEbrKoR92rkXL3rrkZQ0tE+XDSyMY64x2QSm5Nmox5z6ucIr4sDM29iFyOF32KR7hGnQQf3r3BH4
NOIFmJ3wbrxqhXMrQ2AZSCaAUkgV7mYRubCGcCz7SYmLNqFxZXHOY9PZHGUDRYYnfo6MT0dVQZwX
j1kM2TWdY/BbQNQ+mdcy6tbT3lIhjWshUax2Qfb3mw+7OglPIggdOtRTu2ivZp6E9JdLU72roY+b
1xIsqMru8qItXRiAPxVyMOQtENMTVs2sB8dIK5RgkCza+EVAwvPZQfUG/jfIAKgNNOGu9G40/9Dl
rxABDCgxQMXZfS+KW32G7u+G9pHM7eXPWtisJOtkkDhEx2BlhFmnC740QnrUOOIHOi7pk69XFnbB
RxrsIpaUhkFIIwQn4kzlgHohFmyu/ZF2rfqxoaQNK0i9BoJYOhhIeMoKnni+loVoxrdM04eHAPoc
H+kxb9r6sXENlenKiJbNzAmf+WlhiLHZ5Ou1ZuMYEYtGI4s6rhGbG1t7vLwyS1bwU1wuIId5twiD
Ub3AATgB7L2v74yZo2uK4YlYGcrC8lNVIW5WqGNB/i1s/jIuC1nLeH9abXtl0BHI+q1EzAvjYAgm
b3YySSbO5PR8tZPfaknFOCave4VpZV8DWZIT629zAwBdZ7QE60/52xQzcOXQZG2kWYDbG2ertDcT
cqyWPa4cl4Ub8cSKsJlHqLOnLsJKN8JBQoYAgZ5mlID/ySuPyaVpgxgZfAslKICcwvJDW6yMdhEm
tN7F1xJtPDpUIl4THi7vsrMsxDxtHHwOKJHTWQSjVaqnN02QuJ5e0S8JCQSV8JvRgW4Yha1tUTbb
tv3939gEoArQmiyO6HEbr/JGxLQSF0LYXdgREV8XynOVk7lKn6BNu2xtwf9Abj9nWqjlzwXK0/1H
5tswcw2+Qg0lDtQArtPO2potFyegWKtbufyXlo18HwkOmxQtWiin1krPpi3DoBPKn+ybWYFCsY2d
Wq+8Ppa24ZzAgV5dmRNUwphaA/4HR4KRQM7Nw5x7i9Ji08P1AOHm3z9EKYH+MTV/ylG4Gep00jom
prTK+ZzQc55sCmMat5U5Vt8ur9SSM6IOiq8j2GDFhFGFXR7yJZiCLfDaHq1HSKpWNsOaCWE0oxF0
fuFhoioG52Xyq4gUou+/XB7I8vL8GYgQAQYjKPXJwYrdS5uJN4FOFexFk/6Lq5W1mTGawJsojgs+
AhYfecroLYGpSv80g2I6x7ua1AAa1/hek+y1/N2SsziyZwkPxtGGHcf3cg5uQWtkXQW5m3e+tfHV
8qvnwSQd+ocgj/eXZ3PR6qwbRG6bRI8YovSJb9R+WCbulCc31BaL5JeqDBu6dFINDWV7xdw5yAmX
SFngX3vzHjra8SpKvzCTYQ++XHeEPEuCnk3RZQhpP/XGY0qG3YCMKNpdHuY5tFKwK2x/XYHaBZGJ
hHLpdIBSRS+fRw1et0PDaIF25PWIhCKcFvU1LNyXjS86yaMxC+fC9GauezTLYVVx2DlwAiLC+zQm
PvIVyO8Z6d8HNydzLJwQfYDpM0BwlFLcna9Ai1rDvUg78uVRLZ7Do1HNO+toJeGp91uEcuBDcOAc
Nppvfd3SbuNHgCjXpCg+gIRCQsi0yazTyUNEDUb01FjSoKVW66TwGwPy2aCFqqu0fiA2Q/+y9zm6
ytuNDoUZ7BiafC3DfRV990zT7fz3Ll/xP/NOOfsU29FngAGYR/GB2KlgvNqi4Q0R1r9SG6qFlj5x
pGZX7obF+T2yI+waDXo9cvoMWVLhI5xUV2rgMJm+wQn5X8SpbD2yoSR5wVgKQaRfkvKAfYv9KY3O
RsshG4MifMXI0rQRAYEFB6K6gGPS5CGFWh1OUaiMbL+4MxLvrm3s17/flQQ+DqUfQAzIhJ5uFKvo
pAAIRuLGkZl9NuUxua5gfbwLVEd7NdL47bK5pYe16fDyAvZDBISOyam9AP3mogoR/U0gWe6aa/Kw
effVJOQbb1oJmk7rPum3tbe/bHf+teIm5C02x16sGY2Jp2ZzRDG61pe5nKTwDv4l/RDXo7yRc6N+
spubIHkd2hyW1FVE3PyLTw0DDlVIIqjkNIn7BMOlM41NqCEO4UNzC4VZY91JwfAu1RokLZQ0Nmlr
v0H5Pb01fTFum2jU3ToOX3xN+9Yr/qtmV/GDZI7TIe6g3fDpkFl5q5xHIXwfM0NLNNepLD4gE0mu
pbmXaVNqn5virc/eL0/9+Y15+vsFv5elNdoIgcIjWznE0qulQmj2jJKnYW8Lv/3rU3NqTNheepTp
cKwxGC/Zyn4A+Se0TVAHXR7Swu3IBsab8RJCY1AX0Qhq3XRUFkkcAGPf6NarEX/TtC9SNmxK4y5W
v5T9bY1wtHevxmu1fGVhveYiE/A8RA3neszpVs6sLk9KDeFrVfmqxNvEm7lt4Tf9bRkuKKeqhlbT
6HdO/wVt973n3K8mA/Tz0zSfI3ALc48HhX5hU0uw5tpDx6amP30HMUwMmVYZ3jQ6gB4aAqTHFqrd
LuIYmy4CU26W7wd1N7XQgW97/Ukt3Dq4Kgl5Rw96+x6hjUNHm/DwqYfQQ54boGO3NIJ9byNH68Fm
Gn3Sq6sRSbrBrjZZ/Z3mom0s3TfFt1T/VVefHKTEnUM0ygcfKAUVjiT91CI4m61lOxfisdOhC7s5
DC1vyhKGTnM79G4wapOLRBQn0Glp3QI33Y7RiwHvy+Udt3CITmZcWPRoGCQp6THbjfu2p0rOPH7i
pc5m8+94iK/EKisLrAmxNQTOMYLmmMvh+mxo8peTm3iAHKZzVQVJo/GnDA/k5SGeX3gnMyviHMKi
6WC06wyoLVC+LaA7BocZIlpy2Yyqnnvk+RLghUL6Z276OD0/3jhC9NFiZ5wGF75JejQ/Zckvx7hR
2mfLkjaQaE8xXFtvfRVDIrNXtZ/k7ze9YULq1W8kEpOFdt8PhxoaNUkqVqLfjytXuDJOPlAI+b2U
xg24RZkIWHVQoY4gWs30FHOceZhd2l/JqGxmhlkLTd/wW16AB043DboJ2eC4Ywg1lPMMvI6ei0cb
TsbKelBr8/vleTwHvcEgwEPDAC6sWaQfBSdAtkIex5p59Cd1K1muE38Jg2ukE1UwRhG8Ybr1YpMi
p5TnlG/ky9vhJ1whK7O1uGuOvkI4jypaElbs8RUynQS697ME65nBXb0y2MVNc2RGOH+yDVdR4vXG
pq8c7SWbFHlG+xi3gzFVdEDB0NoiJOrGHqrlFrSTu7b12k006+nUWmivPFgWwnvmHuFYxwbYTJeU
OPeyMxVwXBqbpHxGSSiortH5hk883VjOtnXerfyrzPrzMuaf78YAT7Lzta/ADX2+PDEfrv5ssx59
iTD/9LtomlbzJXU3wbl21QLpzeKZzPzGgZgfGmIFCjhJfZTrF1ne+9PDMH7RJQRio6uWrHUUjRu1
vakod9T2LjUaN4IqbdDRR0/eIfrirVkcLn/zQgw6z97c8WsacIaK+HO4onoLkVQDYPC7p6LN81XS
gk1V64cBvIjXTW4DjgQUvNKsOJ/F3cqSzeQYcEmIFycEVWbehZOBkA3iIm2Dtm8qdT9hqk1Wduz5
a2ge4x9Lwrr4tgcbcIUlEBC8U+hBCfYN5FFma66Mac2ScDTUlEXzYiz5mrz1uLmnjNxp8qS3KzH8
B6LufK/9OybxVoKw1rbGAC8YlrMqMaSQ/DG5KVq4FcPnVop2Kq7SV9xJelDkg6rd+OGt7hAVvSbO
u1a8WvbEX7714z3lcBp7HzMndaNyl6MjVLyNzvPKRltc7jmDSCMcJdiPY3z05De1xAM5wQebkvcw
BJD4VhZUuigEN4O2j1V9PyDBDgPvFmrLb7H3o0Lv2UUP6zA5HVrJaz2Byzv/6IMEvzEFejnQzWZs
MnPa52PhKjJsOs5dHaguQjdkdG5r+alvzI0V/v31Tolq7ithPqDEF7ZJqqZSH6LdvEHZgnyVdO91
ya5JihVAwtIQsWNRp5jLSGcQXqmOQSpbXAiDIUWuhGLGBnVBdARGuG2h3ZT2/L/ewaP3EgJGblhk
5QHLdHayMuClQH3mOpmzL+TfbbGPFd2BMQpS3EwEp/nga9vcUV61xtyqQ+46ufEJHeVrqFjvHFiV
IW96NnvlMdT1vdHFKyn65Vk5+hYhpmhjB949g9lv56SIcUAYSzbvc6g54MXVereS0xt0Att05Qgs
nICTOZh/fnQCvJIuwgx4ErIS0XVi9ftwynZ58/eFY9ugNYIB4vIoHQv7OgGCoITz8OLoBgJl12lW
qgHLE3hkQfCnSoe4p5wxkNR58K23Qbuu06u4f9OG5zS/AbWoq3d9vraF5jhb8Hgn4xIODVglP0AT
lVDQ+qJMb57kHRL5RsqeKjRBGlBlYP3WsluLS6bNMCyTnnLqRqdLZjQ8os2Rkeom58LTr1IYufPM
WXlDzxN2NrQjM8KEVkjijNZsBiEqt+gPATpSGeRuLzm9bhAvr7jiOaq/ZE6YSYJ+FT48bqk4f1LS
vRTdAxAP/V+oJJH4gKWZm9HNs5+KjjJ0vxJxXJ5SCAhPpzSJ0kRpEtyuVgcwWMqPMHPfd4n93xy2
f6fUkpVTM+jRkXJLGGNhvNTNY2S+T97L5Xmc/cT/PY10V52ayEM5kNuBVYsnaSP30G9LKxbW5kp4
nsV5I8NJgYU2CA7awFt38G9mOYTLA5l3sTgQMDbgQGgMnDHopwPxS1rubZklqSsNdlZUoex7pWzA
wdxK5hpGYylKJgaYy6PkbDRItgRrqCYYdcTKoHvTjb+NQL3KmqsyH1wzgjfdeZQnCKsGYhIrodHz
IFv1wR4+OS2qaj8d/UHWfubWT0lDhfLJabJtnedbvb+VrO+2Wblxo67EdEvu7uSD56DvyG/PeloJ
MqLcXbFaP6rRSEImb35oDj2n/CAGlJ+Gr9BmZ7fBOIWu1MuPdtAmK9+xsEonnyGsEokuXpkwL26C
kkSEajYyb4y2u45h+oKLBSVbv4nWOuBnVyBsjROjgmfyU9VGfxKj6bTLSGT12bipwmwHTNRtoeiT
tS+2tcr6Nh/OM6uEiB85NRXuntMZ1/NBy8yBDWn01aa+iRJYOiWA3Vv7IbEes7H6rZvpS2VK15cP
wlIuEzf/r2FbcE5+pyUJszy/JT+3/VdF/f3B3mh/zqvrJgLmM8Hhd1siKtYaK3fAB9T/fNCEhXMu
Rj7LIVhtrnjorxibZijSXWA75RbNGvlO8eCo6CC22iRZ37u6E30KkhRO2X4KXPQ7VCI5AFyKtebf
FrwPk/Hng4S1D9S2JrHJZJi07afd1x6cU5etuLgF9J19YkVca9MsO2/ESsRd16HfEY6vdI9z7W01
+3sFJ2yQbcidWjnUxrI7xZB5Zygejp+KqNnCIJw376pDBjXZTNP7yn5Y3ohzZX1um3bEPFydZUVa
jKxJ3n4ZxttEu9aSfUff0YDC1Ago/DbVXZjzLptdSssxJ3/Mqqf7P55oNHJQrt70DknGWT4y4HEX
7hpwYFW9tWGtzb3vXQRRV0VvJVUiywXWvoF/PJFeIE5WLRcut4j0ZGPf1mvfNy/82U6lz4uYSJ7v
DdETgeYqA4lZMfV+O6umxk2HjPYTMtN1/HWcVrbIOasDvVFzX9n/2hM2opT7CWIRTEcUDlckU5Sw
3wTKvijQJbwJiy+d/ckw7iFZD4aWlOQ90h9oQv+Khm2oPJvFKsHFPP2Xxi9sWXMyU6WL5uUx3rN2
uq6SaY9G6qYNv6iSG7evo66S1fhcjnzRyl29lHQ/ngwR6gH5mDEotBKTbW0Ibu4Sr9ib3r1HQSzl
uVT8dALYQ1bSDf+HVUcmyTZjpz7uyKM7UOJ6rqxGMzZT8tVJ5I2RvUOmvbHKL6Z9XQ61a1mfJF1a
Gay40WgohK6HvgFCBZXgRIh/OrmnZVGywbHI15Dsuz2YBONOU16r7iXPVxywmLvBwAdzCPhtVYbn
TIhLtApp7w7dQbdrgRC2cP+qTrtxYmOnJWs4JPEunwczm6EMC8b3jCjOgBM8Iy8AJXAme5Wbj3EO
ET/ySDWRD0xBh8mawmu/ypKVsHhhkCbthbBa0OwDuaAwSLRby1nHJnYHOAI2HLl2S7L2HRma6AZB
eGVz2ZMtmoNUCg4NAGL6h/M/2jZVmyNEDRk31/c3vQRZjXYr5H/KWub7I3t0fCSZUHpLqNrOF6dD
OvHUY/rw0M7ShrRrVkCCTISZUAnMgs1ERUiD8f7d977UGQTlb6p1oKYyqp+QnrTNw+XxnuU5xO+Y
J+RowE08OHLr8R1m5G1s1dsn6HylT/hJvbiHW8LL7qzQTZUdMjkbO7xzpJXsxtmRESZC8M31BGJ+
VPkAHZF0t7f9DVhpdBqQHM3keAfj+q5SjZVzurCdT2ZfcNAeqlJGBMsqqbxgFxU3FQQeSbCXuitp
+Hp5hhdNcTdSTKa364zhp/acVi0dTg6E6WS0DoW6S6pwq3Zbz1txCPOeOdtTNGGBbQMKa4qb145z
S/crihiD8zg1oFPfprVUyrIJ4LYwKwI8EF+pkax3WTnjxwO0fj+ken8n/vvlGTsLaj/2JEji/zUi
RBNBFSBPaPJqkWta2SgMyfVO0vz2Pe2cZGfakX7lx5P8KRuSaJ8URX/XAJDq6GqQwusYtdS1/IP4
cBY/SHDrZYD2W6jLjFrdWrJbBUAU7K3h3VooKQbPTnhdwgvfOluUp0LDrZS1DxATIP/5AItrkmod
AH4hOaA2sT5ZKR9gRYhlKm4q7TQ09OR7tDNzNApQYXIqaucU7H/oxkp0d3aXitaF9ZBGfTQQfaUN
ST4EzcME6aoa/gMivu/fZHufVPu6Whnx8j77M2BhxlGlK7usYsCa9y2JX8biPtV/X95miwfT+WNC
yKrmpTwhLYUJqrBy9QNsW2o/dhNghjXc+Npg5p8f+Vg9RfkgyZk/LRof8vab5Mh7dbX7aNGRHo1H
8OROrGkxhPtYaXh5ooKqH3p0V3kKwZZtOStuew4Zz33Nn9kT3HbuZLFhzLM3TE9IGejOg2neDdkh
BFDS3FDGubxYS1NIKy7tTvDozYy8p1NoamWCXq8Tu0XxHPbf/YgqxFreZMXGxzE4WiakEZW077CB
/DYVaUSw0Qok4315JEsRxtFIxMBUpY7XmyVW0kT7rPbarm22ctfHG0VbOUNLG4KEIggfHRFeOqZO
5wwAhI4YPTU9MAZ+tU+pT4zvLeqjrXHbe4fLw1qcvCNjwmlSEsMcOgVjvdfvTP85ohG46v65bGRx
7o6MzB9xtEIejojgDCMWt4/a3afmHlVsJA3XPN7iaCguw2thzI18wnazm8xHiZybtAA3kv8Yun4z
ovdsKLuqVHd28CmhXKqgxzplblttR+0xGL5Xa4Sji8P98xUfJBFHwwVE1YVSwVdkEZ0t3wfjRkOZ
e41ncckKTMmE9VAu8IARtonjcJWaMVB8aH/0eOvYD9KwtdeyqEszSpQ7v76p2xuOMKMmNG41IoWJ
W/soMDlfa+CifbQCrfhIxYpeCfYf2Ad4NMxqAqcbZIR/QHZmK4pM/bBNylnGIsntqxgqN7Qv0auj
HDIl1c6P7fbetqdiJ0f9mN8PplVDZ2Undvmrl+jWAwKX+47qTlGA3K+fqL/kOkFTDIAtcLjcyORy
D0V+jtK7nTbNXddpg3xIUmMgQKj0Qt/qWuavEVsvTiMEiTQLzoBPsTG9DBCxHmvw2FLpPPSh6iq0
bjd+vPv7g0YC6V8zQnyc1AgpNSbzOHpat9F6hBStfAPzxmPUJlf/P1vCztBjUu5Sh60u+2ont1l8
nxQP7RqQdTGIIXKCH4rkmHaWovWRmKs1ltA1jehXCx1GKbcbJDV5OOsI31ZP0DJuc5j0qjXQ59IB
gyxtpiK32P0iZ0WSqYrUhqxZqajbzNulChAZKNT+ljxzDtNIOjFImhd5JAlXclEoUOJbjLCs/HZf
RNbvpDD0lQfyUigMK7hNSgVLgOhPT5jX6oEEFp33Yl7fhoB0/SxYubcW5wu1h5kzDPYFMYdpdkFb
ThP9ikgix9th+FYp1cYcaOgfyrUuzKXhINQFyIOOPvI1wpwhw5SX48iNEiMiZufPXfJ0eXcvGpjZ
onXopuB1ECJ32+kMKUkYjDGDftvrqPnx3xigfo5KIf5bbIF0/GjwHZ0WSHgFf5LpQugsWNOPOKso
zVsLUQIS/aw95PbCqueVmpZVhPbbUHsHJdw5KsmAdIsYqma8+tEs4nM3a+JC8fbfjO6PYSGs6Aqf
9tiElkurzL7Tl+bqvroCOlnabsdjE+4MpU5Q/g4Ym69+hadnqw07yTb2o7ESIc1+TLybQJtTRoTO
mDe6sBMolVh2NAFcqSzFQzjrx1CR7+jfqi56cgbfhHo6uZNhDbg8g4vDA8AENR6EUo7YzZyajt54
HWbHDoYwpdS2cWQhVa+9ZtLPy6aWtwl3O52oJh12Yl0WSvQ0M+derK7QXNO7s/LH0YQW71rVfuXl
lWE8S+pnq1u5QOYzejaxM7MEaVfIqEVcng75LIEcIzQR/lRB52Q/S/C9dnzQ+/3lES6eZqTEcBUk
B0GrnHq/XO8Cq1QxVTa8smqluvL8aK1uumZEeG7D6ZNxyWMENrfX3pM/WzBBXx7H4pTh96DanONL
UUZMGi0HyUe80ii1v0o/vC4gzAUbfWX338pqrZN56SECReK/1oQBaTJv7T7nhKE8TiAttzsynxtk
32AFefM650Ex3i6PbzGtSZMXQHFgMHSVzBNwFDoj0SiloYRJNJye+yl1UQ38gkrwayYjkUd/iZGh
HJsVSO5o75ozbtVW37Z2sbOQSL/8Lctz/edThFjK66IxSUpcmGP0bikRRT0gYtsazS4ZVkwtTDTA
EVr1ZrACL2Vhe9ZIl6Nby85Bm2lb1EiGbwPjyrTSrW9/QwD58sDWrAnLGrZ20yGXyrnjvWxOX0r/
ffBVChA8mZwbM7u6bG7BkdERaTIwyIq4hIQ4sS4qY1J7GvfAgxxIv7XST6N5QS15xWEu+GlEOWgu
IP6lIV5kj9GHSgqrdG6qo1hWfTZ72CxuMv1KSdDfUnk9Fytp26V5VEjZqnMvEgS0wsDstAUR7uE1
k+lpKN0gG27VHRr1u66pV9osF/YixKgkotEWghBEZO+TJbPy5bmds0ageeCO2iD1xx5J/Y0XW0/m
X+PRCBwwOGsZQdxFMU4Y2+Tngxcj/+lGMNq3kr1pqCz0nLO/3xtHZkS9jKpWC6OZzXiE2FF9X9Su
V6j0La34/6UbDhkYh2oY/ePAyYQTVjpG2xQTjZ1TUYG6haIYtp1MLW/HRP8f0r5sSVIc2PKLMAPE
+gqx5p6VS3Xmi6xWJHaxSfD1c6ixmY5QcAOrvm3d9VBmHY4kl+RyP37Os6Fa/hzwkfygwut2Y4kG
dpZ6PYscBhHqle235KeYWRTlsJTYE9qnQIjZggipjWtCfXLzExSc+TTjom9c9JeHbcTXcnCLfnpi
UNvvU0sFrzwYrEBT0ucQNn+D/nBkV2ksi0+Lrez3pRcbsMb/DlALOg0W2EUHiSA8we/qoAW2pgPz
yxzngjdyZ5g4sFG2CcW36760Nsz5ej65OoCDKtTAMEy0bT2LCgcN894rFuyNcHoS0IGT5SpUdB6K
FsKcDVWLQV2qKGlLkse1/UvVWwX9ZueYhHd+ePSdx7B764udcHMItx8lXXluLZ4JAahbABmZdUW1
q7KX3VQlFaa5MxMQFBw6n+yGIDbReyTX2EYuMEN/zgO8T6EOhA53NNeeT26WKDoYHJNLvNpEipq3
WylHAEUKp0DLBv3hJGmN3lpp34Bp8MWACPdG+lCGRgI4xCXOiuP11V4aParnEEhCbRnPNO2ACiV0
BNzSwczTABIGIMhK92m7C4xsL4ppf93YBU5mHv6JNT2jV6Uk6WruIj9VPvYWZNdFI4DqfsbhFbPK
2cgi3ZSNfS/YrrY2duwfPf5ap3c4pKG7DtGF9EltjI2VrnzYQsiJ75rL0bOABEgoz5fFgAQXUmqY
BYXyZCbqR1wNKxO9dH0Dq4m+WrxVA7CMnJsIM8oao5t3c8b9bDMOGaBAoy+P0JgUHKrKYfdyfbYX
D5BTk/Mnnexkp+8yG6En4s6ZEFB8G/o3b9pKC+X1rwpiwBANND6u21ycSOwhTBb8ydGJQ0GgmGRp
g1HmMoSaY3sn6RrubnEiob+KfBJe46EOZrKolU2AYkCHvb0z81tffTHsfSifrw9kcV/gze+ijGxB
sk9brqAijfCqeV8k5VNGjBvBxMsYgO247x8YJOOvm1ucNyh8eOAHInhZaebMLpFdAfxzTHrR3rZe
Fd550xpdwvwj+ikLD/z/RjR/qFMkBtkAI66rNmEmICuSbYS9cn8sux2YIVEdx26HI5y7XY64q0wz
sCIMTvHcSAv9lPWRS3YwwCY8Zc6hr8Nb6f7yw7WQ4H8wPQsZzAyIRG+P9aBkBLnjEDFyTzYd/7AM
qMs19m5gNFZ9sS/cT1mpfWKtlX+WnHJmxgLuDVxVrl6gHgSKxEEJCN/Em/SxT1rkN80puxeDBQHV
pGtXXjpLS4kkLvBPgAWhF1A7sJCzdQ0grZBMAcUi7Y8Tbgf267pPLgZ7p0Zmpz09P9TUmpLByGCE
YaRqEJwnxjZ3MbXpLLas9hMyYGUaPis/hLAH//m//ABtV1So7hl5gQ9IjGLnlHt/+kjogzPuuzbZ
9s2zbb4G5DeqydftLm3G03Fr+6RtOhIUBIvpphV0GvaBpzbXLSzFWDOVB45IQDLx8jmf2SaxEtK2
I7Y7eGCJtbWGt9TYO8ahBw1yjh7S6+aWvBPJIYjSzlhA5G7OzbkTBc0tw5FpWXdWKOO0A09H+lkZ
fHvd0NLMnRrSQuS2dssEmBWQ79flSz+Vr6ScVsay5PmoSM4YZNzVFzR73KE5CQZEUKz7J0A+WTyV
/+Vhf2piHuWJ37tml4viz8tCvuG29NGTjjdl3CdxJ57EGnf04uKcDEhz8jALTcEpFmfMbqxmgMwF
COiCNFJrQc6aIc2tlZHa/ZBh5lJ6YwVvQ37ftF98thLnLK0P0sSogaAx5ZK8SaVTMHk0wJ7Ngyoa
jI+6FgeZlCv385KneYBjQkzXxn/6Q5Qy050cH0dDkKXQ5qZWj24KK3277s9LebQ/AtUz1zoIRPWC
qtmlftlDgBG6I8ZnL8jeNgjabMx4BM2sVAwcrN8JOJDF2OzCPtkm2FJBncR5H6z4/eJpDOEBsOWD
Zd6FHvO5V5LakyjuFTjypw5t6nxQUaZQj3UqYOsr6LOHccUFWuZ5hG6duJrWeqXnQ0kPH04/QNsW
Xijywi/nfBfChrLfZf5tCSU8IASSwtz2VYX3Unx9/pdc9tSktjdcKtOkTlCbDxu14933lu8rSTZT
9/26nSXIHdb538nV9oZbhiP3Z8LE0VUcfOdlVEtwW/rNTdKB5AytURu/+06mbC9luU1tDnKev+6i
mV9Hpx+hBU4OhAoCOU9wW9Aot5G+h0Zm8Gtyfwjv+8juodUSZ86+7f9DAg4yfX/0QOcirTbLARlZ
hmI9jlQrPSQ+lKAqemenL12wSb3v6bC5PtlLofWpOW2uRYWozECxJ07Y9LUcxXZwPPTBI7s45+Gs
v1Xk/TOrsyIgjgloqulvO97xNAxaUDtC5Wozik1VP0wm6HbWKGAWh4WHHUHteVZI0fYn41PVOxx2
RPEyb4pB7JWVbAJxH6ylERZNgZRuJpsGJky/z+umYF6TChwFpgWdvwMxNgUEAeg3/rfy7/PkzeUs
NPJ6yD7r9WE+BqoDuh6RQ7ftXBDKPA/Zo+nJ2Lfu2m5lty9dHafG5qjp5N61eFYnzIexcmjL/ZBa
JsT2HNCs9dDGvu6Da6a0ACzLJuEUFkwR+eCPP3LjCdH6io2lwwvMaYjwbBBDA6yiDadFXbVK4RB1
L6Ksr2LgTSJILEXhfxrNiSUt7EKXTTiFFSwlHZpACXrL6MMwfFyfsqXj/3Q4mn+nYnDMqoQR1+Ho
Ov7SCh5Z7t6yXotRRK16FGJ73eLiBEL8EGo7yDVfMHXhskkgMYZsvWIPTrWrzSPPX8G597+zonnd
CFB1rwSs1CVE8KzE+Jzy6YZb9mPO6NolPq+EdofOpPV4sWE8OJC0o5YBI2GlAfLnIAndNmiLkyDW
80Qe9aBAy42jA9FSXD/uTYJGUWpbsRs0K9+w8PbAJ4BlAnwWSGPpW1rVAHzU8yeAdc32t0Ozqd3j
AP5A0/8xrKLrFo6qufwI6D8Sa6A31jaa3aqqneYXQeEOYHcydpCve3U8dUA7wG2ReGsNLHMQok8w
JhbdMnPFFcjP8003WY3qCcFqAtS3lV6wRYb+ur8sHB0zxG4WKAc1Plh0zy2UbZuPDUF9jBmfdfJQ
jCpK85Wc9JoNzSednJt+IWBjkqDPCj4z37izArW7PpKF/XU2Em1tJM9cktTwhCat0N0f5+LIyYsF
Lqr/jR1w15/P2AT2Xwtk7+DYdoaoMh8BiOjTOl4HSS9NG3ICyK7jj5np/9yQjSqjIA2e1VMDYFXU
N2OdgdzOCjfUgjIisJ0Vq7ZFL8ItRU78yKSSRwUYA7h2SHlw0MIAIJTnz+lLBlmdQMj9xFi6g7X+
F9pxTB41TJRg3QwpZAGbFAlIriYQNxdjBuBvh13nH3pUMoBDqlqyzfLajlxjUl+pnMyPNGmTu5DX
46dKcp8+Z71NPpweHDoVM5APlqaf7IPc8n5Snk1Pfm6jN9QIhnJf13UpgQJLZBpPCjpi+4Z2/nAX
NpkhdqTNLLa3koR9bdxBfjUaQQiYCyv2UY+BxSMjoVBJCzp7OKAwWO5k2qThyn23dLAAGgWoH17m
wHtp991U4xosLKRMadltOnffIHytnYMSd7WzLYIv151qaa1Prdnna52kPR9TG9Z8IVGTRqtax6IA
yY3rZpb2yKkZzaXabIL7jDBjgUiveM7ol6H/IVYLYPPc6McWqH2AkEOMClrOebQnoU9DXRYSMDLG
rfhRk41d7InzmDHIqNS3RroHkCgUT5638oheelOiYfxfs/PoT8zKDvpYeA8gw0d+DqAdqoovOTRp
vGHrukNkOo+tse1AkLCG7L7g30NcORP32jg+UXoCbPPccCCmzgAwq4ihZ/fDqT6nQe0Aj0qGtz5r
b7xk3AZ4EMyiIwoNN5n7jKv0OLHqZiT+/voKL9xQZ5+izUHXBDnqMvgUR1oeCJHdjeHWAC93SdxX
2dGu1vh+FgIpDBw31AwhNX2dLIF6tOROIYs4r7yXKocgTVBnsVvQh96ofqO+cGjH9qV2gp/XB7qE
Dj81rJMluIWVScMaIJZWTUdq5gh2gsKPO8Pp7k1vAF1JXWbpbTq1fnWTMYPemn7O0V9bt+w3HYlp
xF3mWUiuF8OTaY/pIS0CSFw6IKWz0f9Puw+Wuep9SFCXj1KHiRsmB/dmNM38yUxxIZdJtYIvXXJh
RKUo+ADI5UIMU/OkNJnajg0KCCdjGGIKVLsZtC5OBecDKi3ZtmmyV2Rkntx8P4mMRJZaE+FYOImA
JQH6bsYeAeOhHRHANU4G4WaBgKD4Sgjbh63/7llrmLWFkwgyqnPyB9kGhMT68SpT5bkCqzfKKfJQ
00DvW8/2BeAV1/3kon1/3pwoZlg28DjmDCI735ytJVERC8YiFvaHwgPTAa/6prE2xXQzmG+gxgM7
JGMHIlSUo5vBJI85P7LkYJLYxt9d/5rL2Z0T1ni9g4oLd4unhUJmnk4G/GfGrRdAsx36sYxz9den
PEiJXYgdATUOb9Ipbno2+EQBYACtEeR6+Ua5n7b9rta6Ry+D03Mz2lGDoIWItoKZArwH0nkYw2xl
ti4Ps9kCom0PVD0gONaCUzcfuVW4sFCRfjuab+W0Aa5/n0/gpzpeX5ilwZBZOdwBpwQk0bXo0fMm
ipUBWylk7bqnruQo9nZFsTKgBWdERZQAkQYjwL3pokd+4vrQ+4IZb3xzIY7KrOI9lCXaU/KXsAX+
Hq06uTFA3roB88ishZlEnctfOvvF6dN7ar0qv44NstoVenllz+1RHso4EPsB/7x28KDaR5zGFEWc
lCHEWQm46bg/PSJxG4EAZltPoPsZv6uh2OUtAFHuy/XpX6h1ntvXnClNDHfwuqZAUSLcDWKIxGhA
UdZiDxP93bR8NxoOGrQQ3qu1lNqSl6GchNtr1obEvjk/IKoKsJSpbLEmeMHy4d4uNnOsQtXtlK3V
ey6PPQzzX1s6ZIRLdAQzDltk6gCgBZGKuiX8NlhDdy2OCe1uqF3MxOR6mhAkfEg1ewgD0MwUWWaF
3phdPz7k3Wdp7FeWbtF1TmzNW+sk7FKD0/aZD1t4SyJE/mVaCJEPHq1ix/8+Id/MnV0FFJJ6vW54
YYx4GQFRhvMBtCN6NcMOA976TlUCr/Y7KY3ILnFRon8wvfFXRVgWbeHVD/dABhH/nI/RkE1Rpn0N
cWS7Rflsb9t7swbJe9tH3d/XN4FzBqYTVlygSPVosu5GYSejgK1271n3E/SoW2VFU78yfwvloHND
2p6rydh4uYKhvrjN2P1U7xX5aQdbhZyl30dDeYsSiGm/V9UxaLd99nx9/S4jR5h3UFrD7QyCQz11
U7phniA2LGPqSgCi0AoPrWk5lyf9l7KtY5B9Z2ttGwv778ymdv8SHPN24cDm5OS7MN1ZBT345Mbt
1gpca4PTDhXoo7lprdB9RqDBCWpHDGqM+uyH5dJN5wwxN3c8+Lg+oZdP1rMJdbTMBGKOEbIiGFzp
IwV207WbyfmcWgdv7lilzfHvreEig34awhj0cc9b5mTbj8oc0Oxi4R1e8S1BC2/W3BlIvGVC7UQv
gbDoV27PpU14alFbPNftOSSTofxpWPW+Vd+MAg3KgbfjrIiM1Shq0ZqNByWqHzMlm7blgXpLWdZg
fJ2qNmPpg64GcP+x2tgJmm3W3swXawcaCOIGBAgjBMMIDs9nk0pbDn1vGah+xtADm1nHmGfHqXkf
pM94QF1fu4toZ7YGaTDgbRCGXlwPjLtlm1NYM8JvbYHGJefzuoEL94cBgJjBKQJ5R4RV9vlwhqr1
oa8EBv8SMFTkL4fuoa3e0xGyatAuKNpDLdd4GdZMajOYFxLPMxtrlIyfOSp/oJWuwEyYA3v5bQjc
OFzrK7+I5bUxavee3U/dUCKXGSn1ENg7YlcItvfX5/HivNJsaGEZnZKp8BlsMJyLNNmFEhRjaiOc
lc285BB4iSF7geQfXELbzEC5gneaw05Tv+akiJt6xSGWJ+tfA9re9bJunIpqNqBe8Eq3rOdVbrK1
McwOcnIgde5I0qyDiYAlO+h+RJOz5mMrJvTOhMpKkemYp6llXuQk72a4sg7L0wQ0tT2/QdBceD4G
qmxvgAoyxpC2ETiam+aL7X257lOX8IDZqQIU8YAQRx+hvthOBxZD4JFmLatskwhQ3DSbKbwd+jh1
/MjzH5nRRKIHsV67McWKRy9OIZq4gN0CGQP43M5HaCWZl4F73Yh8ei+Kx6BdKTYs7piT39ccLRmG
IYXOO462EU2YZNiOQWRO9/laJ+baODRvEx5J3HHe/VWTR4V1oOZaAfnyTYR1mkGR/tx/CXSwtvnR
X6omqbBOCiSvnosesChJHxoSk/FYu5uUPoi/Lm7MJlG2cwBCwmFANP/zWtGJwcSoMvS1mdFovTqA
Bgn3cN0Flybv1IzmBAUH8T63Yca0P3ywpXjDr+sGFrwAeGpUSCCzjheCrrVuq5pBDgSdLaJ9s5CT
FJvROarw/bqVhd0KK/DiuSQIJgwtRCDpDHJuJiPKnW2JJCFrMpRpWHzdysJk4TXggQUceRBUWzVP
A0OfT/oS0nNp+Bb6zyZbIf+5GAVSHmDFBzbcBeMtsnHnO5LNFLsAhbHYMR4yeZt5W0L/dr1hAvMz
s/2gsT38o2J1cjQPCVDpjSxZjO4HM//ikJXfn/3lrOAw/z5SF9AQcj0fpczzIRiDmfBCVizuyG+r
eZHdjWS7Um4YXzF04VeaIW2ukpDC5yDSHtvVhM7TG+5/OvnWbP52ySFUAH4kgG+AiUHoqe0PUpQm
JOElOrzt3x3f9MNaYXlhHGcGgvMJK7rU8kag2GPXf5zoDo04NYBEa+WmhWVBFhnL7SKvhjYAzXMz
WljU7WYr4j6nECG2D91QxdB3UGvH8YITn5ry9LePCitiKZgCg5VT7fv2ZghWbpal0SBqJniwzq2k
+nGcV8yRfUewKM4Pp46C8pa26DpAsi5b8bKLHY/lP7U0r97Jdiltb0JZGJYqqIylJYoPa8QfC9OF
ZzcWBYgJFK70FHEn5ZA5rcviAs+N7M3xtmmzUstYcDGYAKgZPIkzRZDmw4A706CjYCnIya/AiZIa
lOvplwqCo9ePx0U7aICdS3C4tXxt7weBDCu/DllsGJuUxGmy8YLHaa1FYWFJkH8GbgdSgzYB1v18
SXpObO5NPY8hi2QZr7x4uz6Ktd/Xlnyw+5IVFn6/znZt8dTVv6///uUszcrZSHH+eY9dnMCcyZC0
TQIwQWp3h5B2D4EztceuAj5CKLZWFVw0N1fNAZNBm7e++Diq1RSmoCQQ49ZrK5DW7Th2fWKsHJSX
exL5dLTlYGjYkLYeyrb5BHGvnmZom320WIuC807WT73d7mr57foMzofV+R0DU5AO8lAdAy5AT91n
wkUN0IEpCJCFz1lpqmeZt7fTmDWHamh5bI/yO2lHdZtx9eO67UvvgNA6SFvQKe+DCFwHWsmEKKMJ
MJ2gn4mpX27bNdz+fODro3NwdyEUAJgKNYpz/05S4eWlN1MsuP3WN9wo9LvbrOZfO3+MBySrfUg+
/odB4a2J9DQOCAzt3GRKes7QvQ40unhKgzrq1mrhSyuG23PWBkePt6kbGHy7SP/AoF0BCZUUCgIb
FT6hGm+mUHSSEV3DjFyeqsjhzEAAnEJo5XO0eHAo0iYMBECFtHyaUKsSz/3aC/Ty8TZn83HWob3X
ATeC/n6q7aqvgzEBDyD/6tPYBFvpcFAJNFwTEIc+DWguFaCq96CK1+6vL9jlpj43rQUNdacsCOjC
tO2ro7LQe+mhufnL9NcA0PMh+lryyMo7qTqLgcszyCMv+8rKetetlS0uneNsMPq10VAu01ZiMJMF
jCLgGWAd+NKGKoLqyXtiQfSukVErw5UD69JFYHYOicC/BEiffo/Uss3MycHYaI5m+3TfVO/0r5Pc
8/whe4A7F9Q2lyhFkQzGMNsQoTccpBv+Qo/pY2eM9QFxx+66UywO6F9jOiH8EJIMsQqMMfLLNbcT
jonEWXG8y5fw+Yj0Gr7PXDyRCYw4xh11NoN3l4IhuCzIrrFvWms71T9s45/rA1v09pOBaV7I0ikc
LQqbIbfLTZOn9+4wOngYV8YWvXxrfQRr86gdwIVJS+VXEPkwyTOjT2IAXmelM2LNxHzLnISVLEzZ
5CccSxV8R0SGomfkJyuh6yUV+rxUM500kBYzRHH+iBMj6GNyHeliHG54b0D/T9xXTtT1kSIHmh9d
/upDVy8xI6hBC/fRydGUEdndypP2EkejfcW8uCdfEZakRjc6vkJBXY1ENlORDd7c7BtTjwX0XCXd
eNC+G9aO50WnORm9FvSyBvIudQu7Y/piexDPOIBreoO2/+u+ubghYAay7ajVo4FKm+V26sFzQGHH
cJCnczAOywN9FUV1ggLCy2a4i2ltoG1+AzLE68YvYy6A84HGAIolCHANaa86tPe5o2XDdiaCG3St
bXKkvqQin17lH5N+zaHmS/M8Mjk15+h4W+UHohptCP7kiO/8X7WyNgmNnPZLjbbCpmw2rNoVpTxK
trk+zqW1/HecmO1zH/K42Y52AsMldI0E8Y4Jb3a+DcwkiBKvm1q81R2ITOB1ifjy4lbP+1b1JYet
AOWYaCBTFPQTePPzzQjpN7dW2/nvm5Y8ZFZ+wLcCzrvCJrS4Z06/QbveUbPrylziGww/pa9I0crb
wivxqJqqIS5NUFhII5n2YKMab2puN4+FavYd3l8rFH7/w2QAkf5/i1T649SCvhASI/gQ0wMMo9sM
/SH1fxjdLnN3CcTr0cAsMUlItqm14+sy0IazEWRcwa0343S0NRck5WA+qnBEJuMDMQQgz2v64Ytu
Bdi4i/ekMxMwnruVPYZhAc5oTDP/BKtdRn6Gcxv6f4gz0BEBhQ+A4lHC1K6T1FDEqOpmjjPcm96r
DqxHe8b4fcVvl+YLbRc4hHwU8C8UBPy85laQziHhgCNW0eC99KEV7nbgg6F9br9RkPukXUGBZZTf
VV3907b+s3Ao6F8K8kY7h6ycTotHI2gQ0QuCvBmyD9oRPOQGLqYGpeGsLbaU0C/AMR26SUAYDYJN
lD87fbF1VbFN8pWI4U9aTj+q8EhDQngWqQF0TVvaDIzjBCRScVY/NZ7a88b5no9ZVHRfJqvbWAn7
BVmHOY87oI431B9diltINvaxdTMEanbkhR/XV2jetPonYV0C5HU9/KvD2Ee/FaIb4dBcQWJleC7I
uAfnQUSpeqjQ8EqzNdqKJf8+tajFTTVUHcZxgsU6nQTEwZxNa+YfHHkTd7VqPk/otdFpXm4Z3aRs
CVsZoulQ8siv32u5cgMt3XenA5r3wEks0bgGa60QRkYcwWkqIp6APeqGMjx+ttdXa+lRcmpKc6Aq
73oGjsMsboG/a8stVMV8/kmzZGNDVGpM+qjuV479ZZPglAdKFqcR0W7zVNY8gxQ2DlsqYCmNm8w+
jqEZ9V74QD0QdRWPmTGtcHsvnRuzUj0aMUHWAAq78zk1isYdmYVDkDiA3PrBA0/WYqSlZZvHgxaE
OQelIyqq2uRgNe5wfXv+WD8V4yAB7MOB4W54XoM2IumgzdlCImjlMl9ySgjEgIIdGXy81LUDqKkL
3KTmAE2A8TEjuw46QPK/XCJg98IVEjoOSkPaqpmdkiV3JVQQ+2/G9JCwNx6+ecHuujsujgS8Mzaq
ggGuRe02nHw15rhJ4BsBf+n74T1t0JUipxWvX7zwgUTxwf+CXPQFRBvtRzQx1YgQL7x32dbLbmW5
G5t90z+Z7raytgRvBO/OGl7/w/hO7GpHFVNWzySb5uOj3IVZeiTiS1UYK7O4dASfjk7z9TThU1LM
8kTMd+q4If6v2egh5E4Z23Xp73jdWxtRliuQi2W7APmguAdKCX1nu7IUpEWtHyw+RcyL4Hbwvc04
GY/UKKPSMnae9/v6fC7tamzm/2dRB6DRruADQWNZTKokDtKHsF/DRi7e7qcmNJfE48YRXgITQUDR
ioydtWXJUyK/1l6M8pINCTParWzopSPyD5jeQjkZberaZqNu7bZT6sJNBpSS3Q9QBsYqkxsCVBNv
1E3nFHemHI/XJ3PFqj6ZQGmoDF1MGKl6nGpQ9T/Z7L0xnlrn0IhYrCG2lvb6ySD13GVIwj4DrhyI
uhRtPLeMoOOQ/YedcGpD228Q8au8xIYNJ2uhlBi5DotsZLSbcTN2EKBbMbc2JG3jjUWQjcKEOZ99
y4HtLtV2VdXjzzWihSAeHH6u/s94Hb0sQLKkEy3u0LgHMTDfWfaQfEDqz/vBAdzdhZVVvqgqyB58
1TVTPDaJ8YjqLspiMkvkHRN5ftu5AQibr3vPwthnwlsb6n5gN0W2+PyCDUr0ZXZ4vSIBc6TJTeur
KBhWG8Dnqqo++Pl1jgcrbvJQh85DebKpyIAcmZTCvTMCYT8lhXubK4knWxPux8GWG4Qv9wq8yRFL
q2llmAsnzkxRgUYwtJqjC1Y7DrwKTx8wImOYBD1boJ/CZXF9IpdOHJiAgBnazF2A47TrPJkE7dwE
MVnl3YbdQbXboIpz/8NhJrp49kriMbxSaV5aPNQYwTs40whf8OflHik6p5ojTuMu9/YG4k40oV4f
18Lx4p3a8M4dpLFMIJa6Eme12ICaQiWbqbin/A20lGja7/9DKAFSd5Qg0VoyR5raLLbtmHg9wXuU
WzcOu6nVZ8BXYsrFWQOqFU8/eD7ays5HVAiHMzbBRGDB5X/I4n7sVh6XIGRa8Pg5Tp5JkFEH1mkw
ulQ1YwYucnTpcPE2C0J+d81seIdsTA0qQGp/5m0ZHilPjQe/TLubtLCKbYqmkAOtTHZM0qb7cBQ1
v4m0ogfTSqZdargJXhVeRfbVkNAdeLf7G9ObBiea/HL6yEYwnHmJynk0KMesQTQaNJtiTPv7jufm
Zmy9OuZtb9+3o288NoKqDuo447QXlki+2amV33tFXz/TulV3Tsq7p9xoerw2WQ2mu6wIQUfUt8km
Me3vwZSBrLp0WmpDF67uXvue863TDfzB9Ru33XCXg5CpRoUUzfzMBzfgBBGb984DmQ8mTn4Z6ik5
Wq6wtiFFoBP1feAcWK2qGiln0dxxQuYvo+lxgI7HxhZ9Ce1gh4EsNazkTnhuszNLGRb7PhH9AVlG
efRowZPYnBh5S/IpuJFeq8DxoErCt9TJxzpyCtO5s2uTHhIZgkmqbs22jXpM4k5CnGvjAqeF/j+v
MA5Dn3O06rpDuEu9ge+LKfT+KTpW3CD7aLymWTF8TjSgj20tna1hMdIDr++QPOKohjobCLI6wBWa
mfWVTHaIsrbybvOit771eWP/cipuPkk/T7dVY3EEzGg5yDdGWeVfi8yTAnzOVf6zpK66SUFs/55a
w3CsSmuKGzkW9/jf+3sWBACe5z65p8ZoobBC2DFQdnpvc1dsmmridSSQ7v0aCtt7lmUSppBAbkiN
BpwglztaJEm+RyO5fazstnvOUiJ26EoLuzglZLwB4Et++gMzUettkCwOoHK8l2iOayIHjLZPAVoz
HnIq0hrs7/MZDk2LlyQryi9VOXnVJq1ZfewrIT4Sx2NhJKxGfnOGFMDR3Bon98ZmefdPCnzkLp3y
+ob2Jnkt+5rQI+RfOZgB7ekZakflrshGNzao4T+7vqDHzmpdcz84lCRb0QtqRV6JvGvspNk47PO2
Vc95PYxDpPKQ3knXKNBpZPQHymvDinwlqu9o1GGvBPPCIgGW2pfEcttyU/pD/lqljnqxQa32GdZg
kU3y0OyitE7L15IM4pubI6OAPiIP7SAsY+JrJfPwmYZJ60VlTQg4z53iNpAq2U49erzzqpWvthjt
JkqMpvqtBqm2FgqKr7bH0dCSBygWRYVdgQW64CF7IRmF+Bd3mYwSBOev9mgbu4r2hEVmZebA/FMl
30mTyCPNiyaMSul5t7K26UNCOmzgynQVdhHAjKyoh1spM/NjBPIpsjPh4NPdgBZg4638h6LBAxvU
Oa46CsoNHB1ek41Q9JuaG6cxsqcxnfoqgtiMOIrAy3al2yFf5k6sQfbBVejlSLOfwHXJt9oP+2MR
5CEK20gCPpZ4o5XoUGKbuqmab0lA2QNOw35jNMX43S9ssZscsDiRoVQsav0ahBzTOCa3fOAIXcPR
o3vhpMWLwnG9M9PWHiIYSo5VWIsdgB7ZvVNX6ReDjuzgMeJiO2TgRAg81m0TAkb9fJyGHTjhso8i
bI3IGVm/BWeFfwDlBJjkvMQdNk0z+kj6WTYwISBQTXbO6EMS0hFyy9PS2VZD5sp97XlNGAeF404R
2ojbMJLgnes2NmtzhkdZg+qwW4OiNRpAKrZFg39HYj/xs61nZflrANl44NpaZUAy3nGbMUa/zVTH
odlmv0ETj15KVYnuXVQh3Y6kqT98h3aHgeXZDjwM7QdJjO4goJUcN0bfbRu/qTdknnRWGtNXx+rN
39LJgsj3s+oZwAD/LunC9hYyGdPRgiOCS9xgayIXS6UAcAT+e8tp0SPjxgghL5qCSeHLxHcmahGW
/2GHX03UkycvNuooG3fOmrTIYjQ3wwVnKgEkkzWzDTBQlTXXko12L8AGnzdrwMrFqOfEwvwFJ7m8
pK/tBNQUKOr242dt/ZxJ9kMTghcECSH+I8zzJ6dba/peDCEdE43YIXLlAJDNL/UTq6L1014ZCBqy
GfrIj+6w6wseQZeIs4PiX6nzMxUrb/GlQAVZPR9IReRUEHKd2+QtA3XxXL6u6APnkfR2Xb2X7T1d
e9QthV2nhrQphaLTGA5zVdloXvvmH5Ic+zW5wSW/ODUxf8LJ/KWCNozPqzb5R1W4YDwmf18a95Dg
wksOGK+Z9vjcQgUgm2PP9bdQ3spx74fb0F2pSc8Btf5WAkc+mkhBeuBdwLittmhNa5hLtlNwJ4P8
puMZVCc5dGTtzfXYfmlJTkzpmIzG99u6yDEaGrwEzhMUE601aO9lJzsYRE9taC8vgiivDBlsgJEw
BgMdQkRQZk7mxqcNWFaMOxvIQjZ4UK5AayABFVEBDpbSirJUHUao8ym82Drz0wdI4ProVyZahw8F
fiZoOyMpmmQbknfZI7Nwk6yBoZZ8EhIDaNcDFNi6UAL3hrwF0QNennbzO2v+D2lX1lupzmx/ERJg
wPAK7CHznE73C0qfPg2YeR5+/V1u6TthO9a2OlfKW6RdlF0ul2tY6zlpX76gBc+8AiQAEPQiDxai
oC5aOrxmCm/XNH6PKRPAPbqlqoNSaitwEej+dzFwLBLkTCZD8iLD85ZEl6b2bzMCsUlRYlCJEDyE
Drpp0LNDxOA+eWOKEYlQV9ElqmTw/29cRJW1o2u5eDK71e8m22XV3Vw/fmVHPlbq04sZID71BDVq
hGuN/c2tfkRFMLWq+oHUsjY7IjyVU8NMYseGnBLsL+SFjYq8sGqphNtIa/BAiiwsVVPsGlANdvar
8dfg/Nw7bHQQ/CnLTGDK1dCh7y7Z8K31nrLo4fx2KJbpz6W72XEvKtEN3kKEab0lOYg32i/cCZz0
AZ2pyNchBDs1qUUfskUvUKMqjMsUNIK4sfW/pmvh64SwDWN4wHP1xDK97mpm4/U45UuBZpbp3tUe
BvsmRgO7o/CKsnhgK0k4hA3i5qTEgFKw6AcrOcat61vOAyCAq7/vguU6OeDu45iuSPmcrptp1FFT
MkgajdC1bldrP05f2XvMRKEPH7lX9JmfimhnEBcZEQrtfX1je5XfF1856x8CbEGHvOwrx024dx9f
ymnvJFdVdHBUY0vSk4gOKgxIo/cay3WqBtXTsukGnoOjhynea03mM9VFLbsNgTiKOQyUgYCyK8SB
Vb1iHHZCbS3BSHkR7zNn8YHSZbDd+eMoK+I5W0GCgYGiubWKngvq+voaSaXsskRSY0f7rrvHxGcU
tCOgY0fH+THrRhc6q73PnZQEwBlWRdwyY8e9/McOUT02heAk78larSaOLs32ujljnP4x1q96UIrN
hiLrKHNDW1FCTaOszQZ5FYjiDb0peZhAznF+ZeUSAF7Fp8Ew4Sb4IZIDqJzx1GnfHerqloyKwyS1
EGTw//f7wn3glUDpamf8flP+YgML4xLZEo/uSKoClf4DbyPGwHjaYegIoSN6/gVjhCGipgUMs8Ad
HRDV2Xj8aHs7BrIiclb9StHqRX0zBi9NVl2jYfl2Qe5v7QZkxkafAQqYAIconbzjYNwOkYfEl2It
ZO/D7QcKRozptGEd+FoM2jfXuU+cyyLZJRUYQi+b+khUzRfSpd+sh+AAkHO0PcABobKIgliX9r5T
LxgtPMZIEJ03Ipmr2SomBC+lxzA6skAxhoZJ8tJrt7qu8ABSO+Ww6+hLQN1CtNNJK20gQqDhgpnX
SWYg/FZVf6XH+kOCOH6flrlXoacDfQLgLMi7547uy/wt7661QtWOrVDGE4515Dnt1JhQJknrY8XS
a/BpHb+yJf+tl/hC74i5zCyCNp4zHCoyIa9W+jnNFduiWjTBpJsxay0jws4vGCEGKAYtAa6Vhdb4
NLE8/P+pJNjzUgNHETBeuDZ7K3Sql8LBbLerWDf5Gf1YN8EfRrqRUq/DusXsqKMJtO1ulummcRBA
gb/HOHhkf14r+dXmYZgc8OdAXxC7rWu2ZJNlDbhO0uu0uIzmuxy9x6bxDXSiA4B8LN8yAlSCfbwU
v3JueWcWcu8E43vCipbzmiE/DdFJd1kOSaAj0Z+ouFT4j3xyyxshwoqOVrloDj+5nntg9NAWHVry
FaUz6YHayBBumaZMV3u1IWMG3kzJQQ0GhfGpJAhBYTzVdappkIC19COtCkZVU63U8lD4w3gX/UO/
cBqvVWCIcaoCXVely54ZXKpfFOBtA5KrE1BAIAHpZnlE5eQd3V8XX7BBziqJaVrQt2Oe9lR2k00d
c/sZBVQ7fihcguGe56lrkMuur8eOBuWsP7Tzz7V/RV/8ztL+GrATLxVA6yJQ5VPD9FOeQAOHUGtA
94IZGTCk6aIfrVGzwVJfZ9euWxkv5zWWGSWWGiS6GHDQ0Y99qvCcTgaHQoVRJr6RAVe+vFvjRXG8
ZM5xK0S4FiF7TmsLQhLyT0pR0Dnmdo2n5HM3vJ5Xh/+SeMa2koQzNs/NEo8DwuN6BvIfIB8xYBSY
KBKR/vt5SaqFE04abhInRyEG8aL3HsdHmj1RujsvQnYQ+AQ8sCKBEYIXzOnemGbTdOmE1rIyeqcp
uHNQf65RkdT9yXsn2r6Jf54XKNfpP4FiM5SbD+gm7iDQrMjOmdGvAEreAkXQ82Lkm/QhxjzVq65s
ozVLvknZ3il3lhWW+ROxvuCoNqsnPvptEMIDtR1SSPtWsMNYKzLNMke4/X3+/01mhGJQfQaJEZ4k
M8jRQPzKVLeSdP/5bQhsCoy8is/jkXU5IOEM9CnTp7ZfAja/trqFYiLqoBfpgjKRalhYelDR74qR
BozgY8L2VKe4ryhyVpDoGddphHkUti/jyZ8GA3Hz/rwVSNdvI0uwAhMQ2rbdYv0SjIBqDnrmFb7g
M/Iid6YbCcI7qHSX0mpnSGjQkcku6/apih9bKyibw4ACMWJndmnEe+BbY64rKEvFi1Ia0FD7D1Q6
elg+BTTRVDjGEMECtcSYmF/QcXmxUg0F55a5FYajoxKlv7l5zKlT3DkYgqoC3oNwY2C+D8i0Vtwq
1lx6wDGugUkFAN18Ar6mZjw1XUTwReMTM3fddNl7CqelEsEP/+ZYkMJbmjS30M3M6G02AE+tZLdl
q8L4lZ6NjSaCo4f3Hd10hZhuzPsrm04VghHjks2pE3Y2u3S9HBTiLL6ymkr1ypOeko1swS9P/ZDa
Y81lkwrYSvs2e6qSA3BxMP7yhTPyIUkEsmWsG924haSkt/3W0v1exc6u2C7xxFNSUdpWkJBbCEfr
vYmGH6tQlCakR32jhnDUvdmo0b4CsxuNV+pCxtP5ZZJuiEuA2oT5KHQPciU3NlcyBvqbBrWoFNkh
3QZUdsjyGy26RxHsvKQ/xXExwEBki3cCHAvGDgRVstxgOeGDHIAH8CNyNY6/8wgQiLcaiKH6ajeR
Iy2+L9FNbd+jJHdeukxPxIaYfLJAi4Nxi1M9I0crGQhxsY6se28T9JbPP9BcdjfbzyTrFAdZdsIw
fYqZJswmWJ8Y3qoKzySXN/qZlg68n6uC/ZyJ69tVkJRXYxZ2/b/ntZMKBPQLBjqAz2mLyD8aiEDN
OuqRpnGrq6X73gGtwp1vE3cChX38vBZLCKJoxZLK7B+XqAtadc5ALZakKZ59tDQwRpJZQLADdcN4
tShxoKRCAP2Fdgv0MAN2+HTfPHcekFrEW7q1un0XrRdNoh+62FHsmLShBODJoEPCUB7ymML13U4m
h/3jr4c0v1nauxV4sUnb3QJVbYde133SJPcgMX1cWBd4+fv57ZMdcowrA38Kw0AuksKnSjreWjqN
hyC/AROiNl+P1a/zAqSrCARcFCNQCUYe9VRAZlrNrBNcpzRaD7xyV2v6Po5dhUXwC+rTCd+IES4w
nYCDlPK4BCy8/mCiS7fYD+zJ+sLgM+ci/08d4TAblQEsWvSBBhFiuhR9OFnx3hiY31PVpKTnaiNI
eKmkbuQMNQB0gsoEvLz3bqGNM3/qrbuBhmWVHjv3CyU9F21cDpwHyuoilF49DZ7eNkjWx9nlsr7p
ztFov1BdBSsxSvYIsGxTvLY0AiQdpiFh4zEW0BkgFbgiVYlQmUVvhQi+3slWYBGVEFI47r3uDA9e
+XjepFUSBMdASFlUIJPDmQF1jjHf2bliK6QxKGp3Np9gAzG9WMPL9CWNpxansnO/6RVmha4W80kb
XljyANDl5Ea7QTJt/coLbyNVfLkkiD1zmz/4p2xFe8xr31K/dkMlKj43XfGsbuUIDi9u9WkGRFQW
GI1THlJzeRjnb+3q3TvrPwXm+Xya/Ty/YzIntJUo2kSZkSqrcJgyG4MJnGJgeMz+msQQD5etEMEs
CrMz4zaCWqN3AIqsD1peYJASFSSlzNNtxXDr3IRNFe0mMlOIqfECy+fFL5yf/XSsdcWghbQzbytI
8NzWYuTU5LN5IGsN4uV9jbBhN1H9COI9EDYBhN42EVB9oaSHMV8A8CGpjElxMQPgsZh1Jr8O81G/
7Et6OyrB/fl2CwYIER4H3AQU1SfulMiuphn99xBBm9uGP5Pr1U+TwS8YwaRMg2TNJSVlONlvc/xm
1iokBckWoqLouA4mWDCiKoI4OONgFKmJS0QHItBUHRi6NPQftgogW2L1J2KEOxHDv7GVUYjpezSB
9/NdbzW/+1IPzx8uyXE+ESNcif2wNmPKZynzjt2AiQVj2X72MFPvpq0iH70oiqtecjNSvINRRcPk
7edaGjM0vWEdrnrmNK+WWe2S4XcSYe58eoJJoaf4p5dOhy/ouJEp3MaapU1205vcZYXt+tRmD75P
wL/NekXJXLpneCcgrnWASiiCA9ZdW8QpFzQtQOp0k/24FpfNGitwRFRiBH3I3MZ00iFm7g+Nc8+6
fZ4czy8Z3/ZPhwz8dnj6gPQREdOpn+qjBhxjaJ4Pxgm9+unOa5HFwZBO4fdfqNGAvgo9IoBl5kiU
woXiARwYQRlEzckUDs6RgD47V+UPpEuGRhH8Goh+AeF0qk9XEIxJ2C6yMBilA3rHgh5NO1bc/LKz
ZOhotUUojmUTRxPjeDa1eNAwBcqMQ5QgFc4sgNZZS+iNHoZeZiQS00qxUzLNDIwIAjwRod+nkTo2
OQlmZoB/mfSgWPLaogmpN077lKwK9WSObytJ8EjrSh0MJkC9xLMwoWxdl6N3EQN7EDfNxXnzkyll
ot6Oxk2gjXx6CAPqJMq9DEnRegY9rA40OebsltZT5JNlVm46eIdy3iq84gQrb+jg5VWKTIyXlWDA
OIA/MnGvHOovbH9eIdnabSUJ9z4o51ZMeEOhUtsD2cN36M/R243k6bwYSXALzNAPhfi6bsILQzP1
GP+FGHu9o5N3qKpa4cDlmnCwTk5r/gljPy9y0H8RJJaK8veCEXHvGx12k4q2S2oAgIv6nxTBxaWZ
QZqEZ02H+r4aLhZAksyKW0EmAkg2SOxgupnDnJ+uVVoU3jDx4fd+uZ3tVw0QtXqnWCyVDMHttPPU
4q6DDNfaW/HbZADBTMUlJ/M6qJ16ANQHxxbm+E/1mHMzA5QYbgNML/6si+R6JGA9ImyfA4HUblzf
BX6sf97OZLc4nyfgeTE0g4sxkF21bOpj6JWONYZsbxkcdlNUPoB4A6feYQIT/LfnRcrO6laksF1j
beZxreOsNgW9Rd9HYE7FP2Nt7ArP3Y+0ULhVlYbCzlktOtMiB6u6VHUV9Nb8HtVad5GP3Vs16t91
L652UerdFugHUyyufEM/FlewfZD1ZXNeY3FXasxg40LiCpAsYwjuh/e5ir7rlXEDEgBFG4PsXCPn
CFhj5AFxUwrXMOhYzKXWuC+crvBsIHPmr2nQRr/Pb6MsYYY+KlDoYCwFg+Bi34eFQcYZ0+3wH6Zz
o2dOsOROCEbNQ6OxqyL73rvFhY05RDtejrE9/HNevNSKeCILGVRAGohowM44ji2gkBG8V//0WQHD
SfdmPOJKey80pthI6ZJuhAlOn9h6GgEVDEkZYOvVzmu2ZhdeBwoX7StRNX7uP7UEH2BjEo85LdRa
EgxU6+4VLSniQnBcz9Ud6/WwTXrfXZWtsSoN+f83902JTwJMHuQmrD6aeRswe/BtTHUAK+tmXpYA
7XL38Qg4GKYfo6F/KmrnjqZTDxro/NBkg28okSqlW+zoAA/iU+yAYjr9JkzT5u008OODzHWe7D3g
plshoA58FUic9KBuJAnaT7QFCkYC7a35h0X8Ij/mKIYYLIziEswfCtOV3iUbaYJHqhYgEBCuVwoE
E315i5AnNUBCeP6AqKQIzieZMluzc25JNvpRd5j89BGNKYRInetGFf7/jdmQ3h4SY+FbNPRvxOuv
k8EJx+gV03A7y0l3afJeolf3vGay2jRnG/mfYYhMCmxMWFNzqbOd70maXgCxMjDGcjfS/ojoGeUV
FgIU43EcyT7R6p0bv+tafJ8nF+e/RLHGIkVw32hOhGk/noY2QysxgY2ZHmpNRbMjCwbB6oCHAQAD
gZgseHSad7XtZXjzxNQGk7xzxMD64SuafIgwTzcSHc8poO/h4boxvmQ0QTNp8hqtq0KM1M1sNCGn
YirSV26/QBNriS/arr4xxkejdNEG4igsU1ZsRA8c6DctjGCgC0hYNMvrO40kHqJCYNKB0W21QbXu
2+SVWm/zuh+iO3vyS2sE+MOuU02cKqUL65kgVO2sFoqayC1V1oOTXCZuMNVXwPjNh5+YyMZ5BAz7
aKLNatqd30ypO9uoLqxyR6dmaPkbuUqBUMaC1TnE6RDGxUvpgTw8OC9NlqE8WWnhdozjpE4KvPKC
ZL21x12NNld7PKxpi7jqkWiPuRnOTFEVlxoS73DkB4J8mm3UvHzSvQoy6yi5KNsRIOzdrnS1wwAV
z+snvYY4oBcG/C1kKwVDGhe7WCITr2U7ASkm4lRtsA45Xhir9YZrS+FSZIrx/nQP9DrA8xHLkEsV
W7ZmVQj4Ce38Nst/9Y03BmbspP5q2i/ndZOVOFDz1DFaAS53E7QKpwcyrjy3022IQ6eadeiy+rrv
miq0+3i+ACCScxgc8k+fNp0/u0MVkhkY/nW0PhVOrcKElzlTOHW0B1j4mk94sGbRkxlRVh6w3Lu0
hiawGnqTK19ZEnNF5Ys/R0FNwPm0hTurZ/FoumREEjF9dMv3enyogNa7gCTHQXV+12mg5KIKG/q8
q5CJ1BjaYwkoWsTyq+aaSVpFkMmKwOieUrcFRvBFNangrlRy+P839zE1BwZWSaTUFxr0w9NS7sGQ
3VrfzluNSgo/MRspNZsAp+9CGzsf/cTF0JbxZOmojD+fl/PZIviqwTzR5Kp7VDTOJk3AdNBzbfKn
aXwo9btGhdv/+XCfihB8V2LXq+dxETP9GdMLow3jCu0Mv1dVFeDzHY6ZE90E19sfJjOx/aQHYIm2
8F7huX6IW+9RdwdFzloqAQwzFvJsnB9FsGtisCRKIyTkhzbo2TeL/LXL5WieoEMEPh4nQxF2fUjq
pZv/JN/pS0f2JKr8LLorMRJ0ftdl1rWVIwSu5lyiB29C6sspwjjP/ZgCUAnFIEuhj2y9UHpC8QeJ
I6CmCX596BG41Q4yU613Z1b/5pOpuhglxmXDryKcp8isUJH+u8UkRLmUCA8HuwZB9rMOxs+EFhz8
xW+rG8/7bTnsoSfDPmMP+tgdUeB4HkwS6kYLNK0KPqJRPQuk3+QAKJXA53OSsNOz2w5gOcMoP0JW
J7+K1uGqTY0Daez9AttfVlX1UiYOXCIwfeQAYTb8iG9cRVUB42Gi2My2W+vvC40AFFOsIBcNqjwH
GTtbDAu4JgP4G0uQJce+ZY3UX2c6XcYgCdl5w5q7PiZCqxIUDS5H1GJj9xIhiXRvV6OlImmTfS/q
JA5IZi20RojdcNE6RsgjY3kWvCf8KNNDbZ0v3bS6nrX+V5kOKhvhY7qn9RkC6jkwEJsWTBEF19MF
WkCdO8cuDxS1FjQJnR5OZLjGbFdI1yVsGw9pnAJzt9MBrYyq3eE//kk4bMEC5gdHKBSEY3Kn04YV
oc08emE76UdN9/ZURyetbe+1gbys6YSQB+205vNYx4pEleQAcvZ4kJVxRk+0JZ2qXsLXrEWEGM6O
f06J65vAsPprV4JGrj+FB8BgYEj0VEI+xnNDxghZ22hnJReNcTUDIKl8Oy9Fck2dSBGO1FwmBuAX
sYojvWhnjNg2d567Oy9D8qAgEMKhcnCOkO4SFqtr13RtO1SHSnveZxg28OPYMwLaG8uh97IMTAxT
FuYVgLhn1s+36DRD8saY7MuuGB7Gfl0UXyQ7KTBdG7iAPGEt1shIGk0WGgABjWr+RiXBL9zbSNfu
B29CrWIOFerLLBUmChxPvOhMmMzpTpKxQ1mbP2lqIwJZStFdewD62iVN1XwfU4ftESnc9fFKbwF4
fcNcjYIUIlMY7J9FFs8LNgA0pwbOK3q0Tr8ist1kHiMAUsy1M/UYES6IHsROYT1rHiBy+mxoAfI+
Z2VyhR4uGF3KMpQpDQyZX1DK2ueZZACq6jVqvbtjTELg2a4DrrYiu9SbpUx22Ypf8rve6Z4rLzXC
Oqo52lnZL7t4dYoX0+ltjmNjPOu9pf1uyq45eEwzX+0oao55vxQhS6z1OkmtApWQKEr8GLho90Pc
zqpGpc/PTOw9AjOE64hrHJHGIJvx8DbHMg9cE/NeJr0v7X96lBEyowU6J9nPqiZGScoZEgEQwC8T
XpcX1p+NjjUNFK+VYdl57gOJw3L4VtLnZHwH4V2KHIxzYynpG2XnG5cBKrOAaAdcpnD0ptxcbNBI
5MGUAFzV4Mwu2Z3TWopmAEncgzsHdFjIZ+Ogi920Uw68vHRGJ3Q+eIByu0jrH8x9c+j+/FGSnVs0
u4DX2uEeRcxZTVVLBsz25IHlTjtzzi8cLwuTzvJz8j2eLcX9Jl27jTTz9MSsozky1kJavwJA3DR3
Ob1vZsXKyYUAFh/NyLwfRdggM8nmmHrgHpyL6Z9pduZ7l44vFesrRZlZboCgzkB5DtVZjBadqsPQ
wtNO/HVeRRN6Tn92CzprrlbPj2dUBncmvRwxmVqrYKJ56C76HcsjOGzgMsIEpxDau1ZPI6fAKjr9
yzo8zfVlzAA+4Gfai94eDdVbRZIVwCQA2vQ59QGGb8Q5+QEEfgW66GAj/Qvm1mcS6FkYpbs+8yl7
I3kQQ6pz69aH87Ypiwi2coXQn5mAFJxc6Ol2/SGl83FaVHNhMvPnbyQsJupWn3KpbT/1Zg6gUz6a
XXcXzXRcmoL3DVfOqog+ZGa5FSXYflbF6HpDBBy4MdinYufo2rmvF/kXDvRWjHA1xmxp1jaBmAhD
xfV8P2dvXlEF0fIrAXrm+Q2SuXz0EoG0x4PPt8Q+dZ7t78qpx0nDqIb36DHP9+yHNnoaQDDtqBL9
psweHDh7sB0RwJiJ/t5otLFpCQ960MfZG75XP5krdm6nNQ9d9IpZcM26GeL3pQoK90iy3119m9Aa
lZuDO17p1q9Wa/yifsrXY+mEaanC4JEZ0/b7BHt1mo5kdox4AJDRTPfHZd/SB9L97FNF5PGnJ1v0
ALjxgF6D1ypuIcHxkNbtjMTGSrRmgjauQ76gmsHBY/0+e2icJUwM4md9ucsrXL75j5oADijIm39s
cpnNr6ULyNE50J2HOVZ4eGlkuv00wcwHsyYo82IRmuIKaFRY/B1SQy0LiffMir3DwjE7VuBgi4uw
/PsRLIJ5S4hHvxSwlsQ3RNMg6YFMFEiDgXWO3KkfWcGkosyTud+tEH5zbx6xWVd7JQYMEQAY3/ve
t/sDLfYkeZ7sYxHdmaoGCVkgsBXHrW4jrmkWO04XiHNsFriOb5HbGcNynup1JLNePPV1MAMg84sK
76mcYdFsx6jgbUk2YuLwol0fEwDTWcZ7rkLdkPgNXJd/+ojR3Yac3qkoDMayIrUgKmVPTtxinBN4
xNVdDKxFEmAg7LyXkuzXiTRhvyZmxrk2Qxr4UtYGmI+Yz08Ty3dMv7B+AGcXLS8Kxyjx9ScihT1j
GEQu7REizZbs9H4Ip+pGVxmGZMNOhAjuZp0Yi1oeTMVT4Tf5JQqOWFYfSOtjowipTOmO4TxhZhap
PhRZTnesKJmVWwtfw/wpnS+m9LYvCYb0QjveWeVzyqwgGX915a/UuY7WIyVtOFmOT/S9Cyjy9KKP
922Uh8aww2RVMOcDkDb3iCgysOMld5P395cgqiUfnyssDfzjUJopfr9Fj4KH5iWjPdDm56S5O/rr
vHVJcEU508KHLCEaa13M6Kw8Soman5Uddtq3FOlQr/ez5EJfdm26r8m1Z+zM6r4HOtNSBo356Nlv
eZEcatUVJHO/m68BifTpRoG5LJp0HV/jYZlRWI1BAhvYme534wWAyf1oehva+WDb92URTvMXKg4Q
j7E5h+Blhrn3U/EArybdzEPTqLmfvWdzRYtIdTknigtQer4+xIjDvNoaaV6XQkzZvaXtFMb1sWzK
rxzijRDBIdqWlsxoa8JSaj864GIP6c5RAQXLfBPvy+JzFRQIVMK5MoZ5yjNelk6cn3l0seYgirxo
KcBms6uq+ja/njdW2bphrhd0f0gaoZVZ2B6919HfGy84d8tOc4+2+7R+4Qrmo8P/EyFuTW1OoGuv
IaJtbvL4e+PstFJxuuVagLUc861INom5JsDHrz3RJlwf63GxvunsulVNk0lFoHLi6EgTYtJU2Jdk
NI12pdBinJ/QBb1k16i6nt8LWeUROHwfMgQntdjgugDNCOyrfVt/WMi5d4Fm/2umP4bxIce1aA+F
QqZcLbxzMBOFF6SYNmzqfrAqNFIFdnsRx79TJI/I+3m1ZDcFyk3/iRBu28jQ3QKpeKC0RrtJOyII
t0NW3q7ezuwU72+VNsImeUucJ9YAUR5o12PjOKU/0B59Xh3+G0KkjU36UEfYpGxYps7QIaNJFz/N
fYu+Lm7he8YVURWI+MqcEyUcToM2bWTUEDVV/xjaZd79rmc8FA/nFZK95pEvM0zeH40gWXy0rWwC
Ewq4n4IF0R16JkHZYvjRMF7Rxgkis8VLrr6lLjksdnST0PghaRQTpzKnt/0CwURqdMECjAFfQNyL
cfnXGZ9NghL1JUB4Knef6iqNuaMWFhaTZbYJUDKMcwO99PRSGr01mSfDRp6wBY1K4ufpC612eXQ5
W6s/e98IUsg93o5/f39g/gBd85jBB8OPOFibtX0TAUb0j5ty3bDoD+O8O7+ZkpXEYA3nkQKjlQcQ
hVPN6oLWc5OCkMxp0qB3945+SIiP6ptvpyECLaZKeUlsdCvwj0/bPEYcE/wS9Rxh6yzm56xGL/HF
OlwzoqhFSY72iRzh7h11DKNbhYdkCcjXXYoE9ux3X7jgT4QIT1VaD3ZZIiwNEgxDeVFAvG+TCpNZ
4j8AH4A0JG8vgSXw/28WLHO0tSCZkwcoi1531QD2KnbVT+mu4vObI1Osm8T7nogT3BUQccDPocPm
cvNX1qR+ahp+ru3Ae+5iLVVToSppgvm19oBIoIQ00wlb9o5OTN9qj3MW2uZDNvw+b+ufTcJC8Q6O
B6ElHiGOoJquR045UHBS0K5B9gIkhqNfVvvzQj7bN4SgDg4SatTEgf1wul32WqACOseov6IabQ1h
o6V4nT5S7eK8nM8HF3II2shQ7EW4JL6n2BpXep1CjmH8zoBcCzKz5psJyr8R6E10ChJbETF/tsNT
gcJW5fpUGaADhmLRri2Po3fZ9d9BZqWkaZOENVtJQAo/XUL0i9RT2UPSajkEUXMUpXvaR/GNQRjb
px7oMOqirX5ZiRM/JoabHJzBy57Pr69UXfDocuoKZDTEIk3Uei0p9BTtns1Nh5bj3Hxw6ffZDptW
ceKkO7mRxC1qc8ALm+ltSSEpm+rQQwTXOKD5mtHleUymb6P1YPWKsEdqoxuJgktxrQhT4AQSAcJd
TbvVpGhovYvqL1RZsZOor6G2idccLs5T1aw5KcGnC0E6DVInsI3OH0egs+l+O/yOrEc9fZ69W/TF
f2Xv/hNrCQYEZl0WOyXXzwD2EBC+tHvH25XeTp8UaQ2pS/lQUGx4MOIWsAMVJGnWzs5vpvXeWN7O
KyM/DhsZwiVjaFpNhyRBKzXHpah2BSpC/dqBai5FX+zLyHxtuRhVOAEqzYSQR0+pPi4GNBvNNdTQ
WDjPP6JVhXGnksIT9hvbj7yysGtuICm5StjTAD7zTMULKrV2uEmANLnIS1qCtddtUUWrBxmN7Zcr
8120nAIcIEG26/xOSV3GRpBwv2Re2UcGP8gzcuqW9k/c3Hhkt7Z+o2KNkrgMxwDUCqGmgcZWselK
i4bcW2mMwHDa2eXdmIY9fRqrW/QtZFVIi7+3crD3oIXWRsUABQNhBVlC4tHNUiRL2DU17nP7rfj7
KAflmI0IYe1SYG6yaUHSPyvve/O+HV+aKliXO3P4+2sMdR84JNzQKFuLw53NgLoHHdFm4kb3uf7E
msB1AwvXDFuO581BdnBPRAnLhsYzl9YOls3Nf/famwMS7KCqF78bbozm1WA3cTQoXgwSWz8RKSxj
rlkWgHqhHTLUk/G26ofWuy5V5WP+K6fPIV47+1hDwa2PS9atiwvFPOPXMr6D9y7yHpvkMU+Pkamw
PalGgD7jqRpelhH90DB1CTj/UDpG7nFEL0bagcTwmgyK3ZJ4IhANfMgRPFE2jSbJesiJ1zvTDqP6
eVT1XPGfEJcNi4YzhDoImo8Eeyh7N6nMCA3pkYlWTP03UWXO5AIAbAbcNuTnxMcccfEupiuGe8EW
Bkp582m1K8Wov1QEEma82I2WRrG9MEsMe4LS/Jz+qupHB7Mw50+NbL95Ru5/AoTbLukNc17LAgmm
4kGHpzazO5o/JiouYNl2b8UIZtWyZsS9DT2S7mItX2njs0hhUZLrgDNM/aeJYFFJ3MXJnEETt3rV
0u8eiNRBtZktmZ+rsAiluwI6btclnPpDZOR2M2syOh0lezu9tvo66IpGsS0qCYIyGUK3quKNKmA3
IsiA1CquOOmGbFTg/99EAm1foyzgoflLS15S65ksAPKdFDsilYGeHj7ChTqCmLiKo7VsshmNV9V8
p2mhW12T4vd585XdzCgd/yeCm/dGjbyNu8yqIaJebkGpOnihhbbJ+qbRQJXcgJJVNU0k88Wmi15b
lEORFxcTsuhpA1cQQY0hWfaN04UmOIfzJdSca/jnBki35/WTGvVGnKBfD/IOIMxAnNteT8Yxpa+U
hEt7rFW9xPK9+tBLcJbT6AJ+aIWgYf7hsEODzKyleAZJdUGtnw9i8eYT4RpzG6/AqAhqfKR+nuqX
NLmwYnS8PjH2hZjD/BAkkhM2wzQURQPHry/HsXhGDJ/XwYgOTEcxgiBdtI0gIfkQmy76d9HaGjjJ
Ny2vfExhgg9QYQJSD+0h/Q8MFsyeiBano1WeAd0BJk58C1Wt1g31ARO6imha6nE2YgRLM3rGjCSG
GFN/0LS3RgvPW7I0PEPjM7aYo58jtD09qhVzWBnx3qNmBSuclly5LAtJah6NZLrSp9u5LNGeZpaN
X3qdoiggW0OCIIAjkPI/QXYPZGayljC92b2rsty32XHS0Pd6cV5HmT2g0YnfQcgOuiLgYNKPZO1c
2ENlHMzo33G5W6gqByrpYUQa5kOIiC8I3P0ByBsQMtQBetRC072J6HeLHjw7MNAwUT4y79CpGBZl
5rGVKpr6QtAVwaV25VUKHs7674fSoBaFWcDSASgn5i5ac1zrtYZ59LPmDIFFWXcgGNxsgoZmDqBB
B90rFDYp3a8PmWLiAg0SXeZymU31XlCQVH8fhv15k5Cb/UaGsHDNNALCa4UMw7lIOsOfWhvNVfd5
f78iY9lFYaXtdHN3XqrsWiR4fQP4D1MY6BQ+PWszWQ3UHyA06sG84qNVmI2A59Ma8Mv07sGeTDOs
uzq90foIicWlMA7nP0Dm6zl7A4f0wVNC7C3Pc80lQ44PsBBY5GTX4NBFXu5r+atZKsIM6eHmlSKk
mZFq1vkub2IAvSDD6HkDXudtGq6s3IHwuvFBToyoyVZNgkpNZiNMcJNrVebR3KDmp9f3ixX200vm
KkxGunYe5x1EwzDHEzvVR4sTmpf5BItpSkBzaD513/HMRJMrJvYSW3G9SE3lQ5rIeNU4TY8mMyi0
pNZT4n5f27fYWx+KUr/SSxc3J0ZTLFUXr9SbbISapyrmcaOZsQEVC3SG8hBq/EJOElNyGIrGaAti
NTFTWBT1/5H2ZTt240qQXyRA+/Iq6Wy1by6X/SJ46RKpfaMk6usnWIO5PodFSLAH3X1xAQPOkxSZ
TGZGRkA3ncAtO3u3Fi1cptBywqD64myNUag/1x9Lki9o38ykFzuC6ZjV6UM3iCz6OI7o7337h0OF
AXY0OhxcovJ7E1JuqTW4M+oAgAd5wx2U7kf/BQjyMdlSiFVt8w/8OFrphmBku/xAbu5zapX4QAsY
AfJm2rUMb0Pzdd0h1ckF/Y/QH8ZYBsprl1Zq3alAr8nxjvJ+ZNb7DBxwm9z37sYjWvWFMKaGAQMM
OoEUUArBrGdT2hGsW6rdsPSkm3fFdG3Wj8zd6JMr7+ZzS9Je0AGkYGQQX8hoDksXXGcDcGVWZYFY
qWGxMWJMo24PJkY25r7/3Thv/7Cg8BAoG1QlPkk6s85fliEQCwpW20Cz47TdDYgc6fu6HeX2OLMj
XklnIdfXtAL9ZB0r6l9nzrWd7bV+425WxSX7jwlLairkswsRZApX5vErD1DUnY8ZaHpT652jP2Xy
O31LK1W5GwGxcYAfctHmk7aJ53NzMhI4VaLXZfPINd4JaPdNupFpK7cjCrs+gJlAOTiSnZJTZmYO
Nkm+HNGEbeiLNu365t7ZqhsqHRKPVPiDpEqOgQVL+zrNTOzGQju53bsfjL+CAux6XbtxwrYsSfu+
KxLKkw6WJvMRLHB2+dUSgmFpvlvfdx94N7mmB83f/7kkJTZ4CQPxmhhwqfVvl7EOLbeLxir70vT2
U5ezG6o34C99MZvXipIHzL+FGl12k//NxvuMN91ucWnktdnJHrfYhLYWQVx6Z4eCFU7r2i1+G9ht
+2DX2Lc6iTvtaX0JVAUIlIMh1YfMDjeBtHvSNphMYwQ2xp+/F+x9HKMlO+ntFW+i6fe6KdUtDYI4
0MAjtXJ8ue1h88yYfFDgRfl8Xxv3oEAI1w0oV+zMgLRiuaU1PG9hoHWLOLNu+BAXrbUf/6X6eO6I
dJt5Zj2WLoMdh36n5RI6xqOR/1z3RXmqz3wRvp59fYz+A6YpbHBWhln+NjdplBsEs/FP/lYLW7lu
GGa0oarhQwRbujendMQLkMNW14DG8m3uQx0yJVstSeVOO7MiBXmIZ0woeiMCExwdN9sNSQgUFtMf
/GRv+y/ry6cM92fGxJ+fLZ+eFpNlCJAb1W8TgL574M73gfFC0qjvji3dSKU2VlB+RFeeBlA0/7go
31h9mBvAsF7SLU5v5TWJfE2A9j5ocS6dMpoaIlD1gkez5h8WAxTE7nCbDN5pfe2U5/TMjBQSHIo+
RAJOsYhA/ZpChNv8um5A+YgFjfz/HJHie2tZZW6DyiFazHeb6WHbHafg1bafzPYrAWIJ6lN+vRXr
lSfqzKgU62cyQtM+h1GnQWxHXQj5YZxTEiI5ji3vN5So9qR6Yi4y1ODbTEmksa+1Xr2MGJVusxqk
z9OX9YVQbpuznyQFLI3pqdOk+EljNuFZ9tw0mIl46rTDuhnVB8XEHPBngv0AzBKX+6ZshnKsBxe1
EDOmYDYql2UjB1E5cmbBkT5okOZuV1IfFsavsx7P3qPhvYFQbd2PLSvSF0wyLJbVeoiJxX8zCCLS
PBzm70Pwvm5GdczQG3PEUAeGe+XCsjvVfTa3cKZEfQOtGMfeL5AgWDci1lzOPM6MyEVl32x0YnYw
0mJkp0yfgzYOskcQQfXZdV9ncTNucRar4u+5RelY62YaYHYdFt0WnMURM3ECzJBXN9PvvNpqaW2s
oSdtCD9go8knGNPql5zF8/jF2gi5hnI3BALehYYGcJzSbhgGze44Q03I6foXD8OXx5mbe69d3sDe
mYf55E+Hue94TMHwdeW7xdtUtyj/ZbuA/gK3xI1TTntrXoYNQJgqzggNCWhJCK0MT1rnwGQ20QUA
3h811DooGCESFKp+ZG44bMmaqpb53Ja0zB1QhFoJ2b6oaacQPf9o6X7ZWygp1UKfG5EWGtd26nMB
s684YAmpEdfFeFdq4BH+pxY4qtEmGmF4XIP84DJSITXxSZ/OuBiM2AFTMal+rB875cc5MyB8Pc8L
Mj8NvBIGUgODgICdW4yGyfha2zuj2hJWVMVdEJR4UD8Ax5sl07wx3+Y6nW3RsPzeTL/aab/ujOrr
n//9kjMtYbaXJhZeLwuJUquPifcyzFszI6olO7ci/vxsySo0YZIS439RnZ1G55DoGAkdo8LHa+j5
H/wBnQeGDnBXoWx/aamYyhqyzLinuJ1Fbb+3WLI3vY24ofwof4x85Cbn7jjJaPY6jCQYGPO9Axm3
5jJV58UD5tQysZWB/5fcqKCkVM8ZrimrPS5Qh6vCan7K/gUtcmbFlwoaleeg4mnCDzPdl8b7DGqX
9a+h4NXFI0dI0Pl4HwJVLvnBmIP4wmHBRWehsk94h7rsns4H0GD5yanpvuKE5sOhSaGXg/OKl9D6
L1Av5P9+wCdiX03LOkCoRfmLRJ0fJu6Xun+bx9O6GeUx+uOnTIGS6hQCcj38NAwS+rgbiudgK3VR
HqJA0LALLk8IsFxu7YRbPahP8JivwM3TPTv0pFenut9lWygl1S0P9vX/GZJjglnzNCMonaDiZE63
0/SFa0d7eOvKo73VKVEepTNb0otuqrOq4B5sZWjFLCCZaOjGXbrhjfxpanO2e+5j2cyShH2O9sWN
z27aIbbz74W70edXGYPoIuRWUOtEVUi655Y0sAsmIsOc13tqmhHznBNbumNvBKB0mMOhazYaycoz
JtRWAQARI1nyKKM1JJQmBfKkmkaJpYdoj1gWBSXUfdKeHD+kyX9I3MKsvcvNGy+Phy21DOVb7PwX
iI98Fg81vxsNOuIXpPWdOcdLGjvTviluSXrbtYc0e0rwNlk/cGqbKDSI6jm0AuRKEFAow0Ch0RKV
GEaYbLRtHmjzoHXXxO3BRIhp9joPMbW9YVZ8QDnn/mAPBfhB0ERIN1nh+1VZuTAbVJb2u8mXHjVg
yCKwWStPVS/ApMDfHVoMVUVellnIjs1pedf9RccvQ6NzZNO/AGXAuIdyGEhoMNYiBdkWNYoqWMQE
l16H1fDW+u/NJsuj6qCeGZHvvBl1b3sKMOjk9wzCqTq6WBtrq4pvoiECbn7MOQXyE9PJQbCTDrTE
04yEdfqLgWklD35XzcPmwIUqXJ+Zkmsths39idK0jOa0iKGNckNnEpvztFGD3jIjpfEsW+q8M2Em
6Z5662vRWTiMWwQ6qhvu3BcpfzerhQ9lQsrI1nY+uXL9eyRV2bTxcZSf/8/HkeEqBV+8UdPhCl4j
oddaobcFltzyQwoiiW6UemXAgpM/TiXqX7BhByH5lzZsAMo/kFOLiCmnJLmv123TgTVZS7vXzAse
OkODJO98jYnWQ28Ox/WIoVy4P+bkBCQvaeYsCXb16LDDbMyPC26EdRPKbSaYEoQaG1iUpG3mGokz
piVM9M0vCyOoOdlN6be/tuEJWUPoHgA3iffIZYhnbp86rdaU0EHiiR3yRNcfMGiRebFdVQXdrVtT
DBgDW+YIXW0U+ASj56U5qP4m1miDRssuszDTEEudmwSNeeah9Rs1Sx76jByN4sHqhj1ETDZuF8U1
fmFeOlP6aGaQbu6wovZeQ2kZVGxjHAC0a+n3uraRoKiusgtr4s45uz57zA/lOYU1y3oa8BRbhh14
OUOPvDIL9wyKEzfJ8A8H+sKodNwcDordwcQKk+a+SSfkXluptylWSborL0yIfXvmV2r5dakV8EvT
HhNn3/s7i6Sxrd86yVuu7Wilhd1vq9T2GdkR+pVkTEAi8eKNPODh6PXk/tLTb7x98cdka4OJp82n
3+Y6UIH50AqVyRkw+la2oEYsAVl7LUEwMP5wlv3U+Ieye7GXGJsP4OCtaTjFQcVbA3hDMLajMCiX
dXRuJ60hVGqTOcysV7e+zYb9+slRXKIfQ/mAAqP84clz6oWmW7PlgfShN62DN/8yiz1P+2iuDvOW
OKMiYF+YknZQCziT79YwRYy40IAAPQbVgW+RSyri54UVaRNhNn0I2h5W/Pwwm/c9uOHXV0z5UZCr
/78VE26e7VLIvNVmQ2EgM8GQ/YWOe0I3YMYqEAYwhOh4A2xqfp77IKQDFfOIWQOP6jsMz0B3bVfm
P/MkpsaNhZmgfF9QCKPpWyViVWy5sCzFbc0qwKVmiSmH9hEKrnUZ69lPFBLABE2bGNyym09hpUnM
poHpEd1gFGKkFNkIsqSwRhRVBxYWIJ3F1C4DseQQDpyFWckwrIgsIv7rrwjU8x+jsp+6n/Fc4Car
5aF2H3Tj3Z1/rZv4mLOXYsa5Dbne3o+DMxk6bFjN9OKw9ipLeJgBYN9jpCsfrHiw3rvizTWekYe3
7k05k53ho73rh3qOqUOHnOjo7nkJSQD3i5no0Dn7RTF6C9xKODrVwzw59xmmxdd/t+KcXvxs+S6l
IzGcHj97xCvQrPeT8RrQWKs2QqrizsRdDfiijhwEFXXpoKY2SZqeA47L3cV+pUFQfk+xO8DMZlvk
GqcCycNQuV2NxSBgJF538nOYAC8+6GeRoIAZ/hNp1FS0JQbGKYABxXOtX1fFhnefo8T/5d0XJhyM
oknelWNDuyTD39+j1xK0aZTp+T7Q39a9UIBJYAZYKZTKUGqHrctgJDqaDgTwwL1AnzpQfOZ73TrM
UClLUwBz750lbsfQC26GqH1x7HCIImjVNvtlK2Kp3IVOLTDj0MQC84S0ZwbSGBk34W5b/1fn7s3A
tQNn5gY47WN07/JEgZoYGtNgYgD6CC2YS3cXXWdaoyM6Ta67kFADuuTdIKV7zWtzzEO9GAApHNoF
Kjm11UNVpcAI4FIanRUblNYPBp7V92jU9xRjlUHvxtaUmLup78YZ6umsrEIN0pB1OLQ5eUk81r9M
S40VtPTcP5pJtnVZic/zyR+A3MDHgFqMJ4e+lpWFa2cdWlZ2iudLA/nTIijAqa75ftia5Q3vCuRz
BSbNMu0fsCtYTeTKYFMFxBSYscvV1Iw5gEAETmBdvKfudUIPY/LVKQ/re1S5Nc6sSFsDChdj5ogJ
E79/yvPY6EByYXxZt/E5iwGgClNstgsVUQHZvvSE9YDaN9YowLjNg8mcWxJYBzdZcH3Uoa8lG5eH
KniI8VIoWkOZ2ZfbgH1raanB4FIHTHPQmaFJfqw7pLSAUhUyACEE8Sl8JDWYRom4njx3H9gJOCQ2
Bn+US3ZmQUpjeItOaZPDwlw/jiCQnp717DrI+zDYEhL+HOjxcQJBbAJebAP/I32cZISapAkgbrbc
AQKpt8eE7KopdHxIOu7W103BRXhh7BMWvEvSrhKw7K6NS/N24oey3fn5zkiPrr2frbju70sa18nR
t7bUc1U7/czRQLxvzjJDaI8AKiAc1dubDqXw4JhuqbqpAsa5Cenp15AgSYwFJlgRs/kE1gCEeOgA
ZMFe86N+SxBcUSsWy4mbBY95fD35XT1XeW5XAOdEabPvhwd9eTOzo9/fcwLdh/9861TY3xttQksf
Um/6j97ZqIipzgGiE65QwPeQHYolP1vSpHXTjFnwtwTNCWZ3wtHcCE9KC56AN5kgxQGY9dKCvjRN
broCeWT1oVHe6nSLk0tRnECowCqCkEvwp8sHoGs1vYWOC24tB/2k65I/GcFRy2/TYVe7cRrkYdsD
IYF/N0r9qpN3Zlg+DLk3psM4wjBQ6YF2MKyf2XBn8C99c2X8PUDxwklZoy7jOPuNcLJJ633PfzSL
eaURGq+f7y2P5CPWVoXLBWqbgEDNXe6L6hr5b+L+1Icj8GMb1lQH+nz9pNPGgPfoc134hKa9970f
rrLp27pDqjCMUTFdzGF7gNhJwbFpHNDpDpj88RMbvc6O/kdHUwunGmopZE6XHehitlhHVIuIOplg
bAemz/elLT9rxKKBQHCU+fMwgLc80vQvtRHy4GraIkVSLKEheNo/Rj8xcCz5B6pEo9Zc2BoCVMVM
231pBnfZFx6oDddXUhEaDfALoLQtxAQxwnx5kFMdsrwT+AwiCr1Lg9O7tH4AYvpOM5qrxrojurX3
HaSD61YVVLxInP6Y/dQamBlSBAfxg87BEaNVEF/x4pS+Wtw8app71TcvXUquR9LHuMdB5GAHEYfW
RbZATsr7YmfkaDM7so2N16el+Mr4YdhWmPFHBiEjQbo0G2uvwub1a0w2aCzNr4hT62ZUBDR7xWty
+eYHRXCiFpuOmc3zuGPDNIWNOUDmdViSsF1y8rXqGv2hSswsifVpcIpj0ucMDMrTPFxVszVDW5S7
VuyZpPnNsjGdYlMr598F2Jv/IwmYiHt75nM4Udf86Y2dc6omnl/z1GdzhLt6eWJBZ2BT6Pm3pG/p
CWMu/R4Atb680SoW3Ob6WG80XT8/cPHJMJQGnASeTBBGu9wpRTYYNmnQ4zf6KzwVNOs3r2+LZGuq
6kMbQMruMSmO/poYdsIgtZT54uE7Di2x0fsbu0qPCCHjLdZ0eqdM64+6zUBW4ebN/NOvbHZXzRNa
GPqYN7t8zvuryZu7pyKvUdkdQOj3paN2/tAWGvvZBNqysSSqzQJeIAdIecEJLG+WlOk2ZEPQh/a4
Rg+au5g7tw1OTdN1J8tCFYj7fhLy2h7//oKHOBbwqOJ+hCyv9C3weEU1/6M/2j+CpjD03N36AVV9
7HMDUgwf7HTwNWz0CAQnKJvUWhMmVI+yvy8oYfAXybogXcT/kQO51o4to6Id5bvtjrH8rrJYyMZu
40pXpCsgaECUw2tREDhIL52qHNtsyifUof0pphoO7RytL5jiRsKDEBSBmGizITUl3Q4TgRze2MER
k0cdKMShac1MEGGOYWdYG7YUHwddaMcF1Eco2shdwlG3m2JM0IkmdThW37v5fqh32ZZolmLNYAWV
CSyaUOiR9ljuBNT0ubBSfXP922yrcbH190tPKcLHZSxEd9ifq1DXdulcbazTlgXpq2d65g6lCQ8q
Mz+5Y3asm+P6V1d/iT9rJALEWaLdNqRoFw4f2irdBxYIYeavLkqwfz/QBfEWH2U3IWYsuG4u7Tij
0ZCxhJ3SeFycOUz9H4N1F2RkY8UUeceFHbGiZ/5AUarngHCVGJh84ONtP33V2Lf1JVNU6S99kU5K
7iZmP4+wsaRPWQJgeLmrvCxMp+Ow3JrdI61OevCD/0NEu3BN2m4uaEQ16ovtbEPWs49Yq0dNfW1t
faqtJZQ3Han5EDC4l/jPTnPfpXNo5fH6Gm7ZkLYdr5ekNAfY6NKnxT/WUwQk81aKpjw9KBZiWhGP
WHDtXO4F5ps0tXssWBsAg+7EAUjHeCgqa57+hYNbgL52xXOfQG0TCF1WvGDqdN1NRY8DW0Xk3FCB
R0FH5iSr+xaQ6RrbnrV7y3scyz2gC/u5jZIyCHVA//T5pvh7YlkHkpoi+8aBQ6ldyog9N194Z3hI
TcsjRvnAt+L3cTfu1n1TpA7nVmTAQheUPii4YMXp3qomtpdbf2zCvEcE2Sfl27ox1X4RyHsxNiYo
bKU9uTRGXvs6UEVFF3cdpIc81Eqf/sEGSBgM3Ey2eLVfbpcJWU7QBtgutHqv0psBRCtbt7jSDQsX
HoQrkZ3LcN166rKJztgOAq5ABPoP5fotsn/Vtg/+GJHRurNPvGxZYGRoXhL0zum/FLyccwvySiFF
4VmJ06u1TYjOpMuuki2+Z1U6AmgBgM1gkBetmsuvUXIPZ3oC/GYwbvQ5ZuO30dtb+YlPr//w2W08
wlEKAqTsQwns7MYApW0JTlp8dlc/LkmcdqfE/LJuQnVjCC4RoC4/NL/lE8nqYdSHBcgbo/jWaFd4
/8T1uOPuU+Lt/eCQm++evq+9jVKv4m6HVahUYRUNaMBLS+gQlrho6SKQQ1DChFo2TY4tHmL1FjBF
fG/pwQNDmAgH7xqaa/LJMQpW9GaZA0zgsl1ttWHiY5oNMzAz4F/GDrAMIGo1oKYm6Gov+c/11VXs
9wvrUpo35rmu+cBpANc6h5V/Z7Qb/inXEQM2mOVA28SVm1yFN/YDquZwDwE7197n+Ukjt2TrslAE
Bxj4Y0byYyDWQLsAZqz0BiKLIzk6yf4flurMhJSFLabmt2leAs8Iqt6pBwY4fVm3sOWE+Fhnp0nr
wHNsibVCCSKsg3cyQrWs2egHqqr9GNzBgwtPLpSJ5WcrmKpyDeRiwGJAd62heNoRjA1YYVXd4cEN
e2DfBu9xU3+Z2ZdkC/WlqDhdWBf75cxHKOeOmaZjw5VjdugD71kf22tBl5VaLhBZmAefS2zE/rC+
tIqIeGFWugNpkaV4TMHpxXrqk5vCuZ2Nb1b33dqasPz8DfEO9MChYkMYHL01KX8o+wn0gLqXoZmq
kzBn7V3pamGhk4349HkdRXMBlHoQK8Ab8NObYGDtUHE3R/euD21228zPU8ujyTrp0K+AqO/f42wF
0gS2oByMUyAX5OemdIum8fIInWTN+JKTJ63/tv6RVGt3ZkIuvTvMrYKkhokGMM7OfrOYG/c8Xjfy
OeJ9IGZwWfm4hiH5cbkBOWi+p2mGJHXrTTs36+NpK4f4HPJgwcdIId7O6HPKpbLS1txKp5Av98aw
0U6OuRst0HCNr+uOKMxAfl2UTTAWIDb3pSPYZeUYMMAHSvbFCa6tGRLwL8zYeBOqrADzDm47NLJQ
3xDf7Oy8Ohp3jTxJYaVIMDzSJk+Fzu6mRetPhp5ox3WfPh9THy+OP9bErzmzlntOtmgWNNkr2uah
3fyYq+LFTL/5i3nkw/u6McV2A4sriBRwjsC6bUkBPcsakrQttnNQp6BR+DEDOuU2z+tGFNvNF58I
Q6ZA9YIu6tIjgJGH2hMsZTNwF06IVMZ7xE3p/143owgHHzzbvhDZBixRCjucBKXRCjyYl+zz5Y2A
ByijGP2Ka2MP8C8KRVtDk2jC4adfZi4+djkqXgCWmKArlzJZsmhlQFJwyVqN3y+hbiccgyJ68gBw
JL6eR/DkDgmm+CPPH1kcTGQKW8NHVo03MuYONFRn+sietAl000s/naZJs1/LpEcqQvWxOWaNlS/x
aCGa6qU7kAObCmgNjIisN303sRtUkLu71uApu248aj+4i4vztvBlbw6cXLtmqX83ee1fz9TvTwzb
i2J4rERgthfbQPMwzzVQDKWB+17q9bxfbJ//pBp3Hus+KZ8JOllfm9xn13aQz3sHNh4bH6iPpqpM
EpdzMF7Zheu+jS0Bu1POiRHObBp4bKRadVdTAJoXvejTiHf6+EMwevZ7EKDVJ+YuCNvd5JUPU9UN
yzW6rFPyEABZeo9RF3+MJlAlDuFckfrkOYS/Nqwje4+OYAKtDfADoKDpHgi1oBWQ+KA7j1PGMQC0
mES7L8xKf8vbJXmsh56if+I57akctSyG4BuUc0a76iPUrUh1XTV5fYXPaKU7K8j5f2Zr1iVY0/Ly
BXRFDd7ZIAzfV31P3/uhLcy95nUV3sSex3K8y1P2ZtrT8K1eUmjKjMTPfkKswdp1KbMhrVEV1o1N
epTfBjfRwvUt//kNjZqYLpjyPMAkAPi4PFkUFxXRWnAlm+US2eB+MLXhsGT6gYKaORnL/zJtq3Gl
OswoSQit6wCEbHJRxElSz65KnDIr37sAH7H57yF2cOrMghTUm6rw6kGwpaaQjtUKHk7VaX3ZtnwQ
y3oWYgduMJt/RArsr57ezebjugFFggmKIgu3BfSu0KKQY9EAvGpdDRzFjdrUvnuj532rSDp1UetX
KI8GIMDcl0mQ4hSW7riEA0moGQ+5Wf7uUivD96P9dUOnsY3Xf5nKdZCNIj8DvR1K9VLAL9JknlIb
wIiJfdGMMXTJRqNBcVnC8z8GxA84W1u/G/La/CA2mszX3ASNIxAYDm+uKnPD0pYr0uZ3qF9mnpBW
7NDOAPqi2dSMUt2OHt6keHiDwhtdgEtfaEARnwU2AZEqNr3XAByHxNn4IkojaCwin4Qt9Lsvjdhe
QZsJ+uqR5j+O/b5gsWNtmFB9E/Cw/s+E9DIMAFl1kwxdun7+njtunDFAsqsJHcwtdsstZ6Ttpdes
biYNzvT8aHRXPTLyLRSCIj/yUdFBhgTcAxA+0nrRkZsj4p5AIVR7sA7uy4P7TECsbCd/T+UKOoQz
U9K6zbVe5lxDiTJp6BFip1WR7p0hHvRbQv4+67swJS3cbHjpmCcYba3nJB5cGoNhtahfbR1M7pob
rQcB1bUBFk2QGkOoBmh2yVib1iPrAyzh1ES0p2FDoJF3hAxV6EAvOdvaFMrtd2ZOCgm9kdu80mCO
l0lIx5jr78kYjsXruleqvYc8EwUW0zY/d1LBcsacwgFkhED8AIAEH6ANY9niZtqwImvG8irVXcqR
zGZgm/LJg2s/uVvMyaoFO/NEHrQrl25p8w/p08ZxD5OVdyj7G7cLKPHQLEqy5/WF2zInbXPKIW/e
F1g4y/pVeL8wZxc1mBwi2dd1O4puBpj7kDOgZ4/+MCD8l6Guw3HqEoYR+RH3bulEgfPEzGeDo/JB
Y1LvB77dOFTtdQHZAM4dCnZgQr20GRBwrKc1wBRWXYmJPuu6ZuyZTU25M7q7ET0cLdgARagiVAAW
frioBx6a1JcmkT9OljeBa0CbbLbTrAcnZwnYGir91PjtG3g4tlpVSosfXADgBROC1pcWXTbYfZsj
7Na88NBuM6A2nE/U+G7miUai1m6T4lDOrNwopCmuYICmLNfzUQwB57D05MInrnJ3QlulIs6pZrde
0h7W94ziuP1fEkYXyCx0pCTPtAI66DZD5VvP83LnLOCVdLt+BhbD++8fLOEdjFmEQIyCSr4sTeCi
EIwoldUoiJiPzDs0ZrtbN6JaMEyeC84YzKR8Kqkbi0+6vBPEbi4PZ4xhWVvKI4qtEJxbkDaft0AK
Rrc4siL05LOHTN8b1rEsb2r+D3m6QPaiPwpoBEitxKc7y/Tyaq64zwWm0sAQKQuihvxaXy1FYEL/
Ea0ogNYBL5JRxPmUeY3VWCAIMa7M6aqyd9x/r52tZ7xi4Eq0V4G9AWu8h3+kT+8UJeNUpBRDRut9
wNLxWI1Bt4Re5bhp7AXEv6V6Se7SgLA67uqyvZumonimi0WvitIs60OC8e4sbFtm70w3KZ5FqfzG
zGYQ95pQZgeK3AEFZz9NfRJmNaavdi6l3EThgDrPRQD6mAhNEPeU9X3b4dljaNVGFii8uKxVwD/g
ocGRjKK3L/eSE56nSYcGAV5ujr7jU5VEdt9rp2kQBtuB70xzsg8OZ9OhG1s/Wv+Yn08yzGNmBczG
aJJ+khGFUuhE8wZtRdCVtPvBy9M3nwMwUiXd34uuw5RAcwK8AwC6HA7nIDOyKkN/sWAjDz2joifS
uH6IcZ0tfhCVV/hygu0rsEy8iC8PAcozWj0VGLUlvOmva99tHs1s8H/6jYUSzvoKfj4OYkoKQdXx
Ab8FQf6lLeQ2gduPmCBtmvvWQisJusYjP9iNtvGplIY8oLmg9+dapkz0kZpu61X5iDYzwI2cGniv
0juo8ex6u31a9+lzQIRPf0zJs0RJY9f6MsAUd8Hx11f3nDXf1k0oPxG4W9DI9K3gU2Bv7RJnroGJ
aUzjMrEecmjwkZxv3FSKNz9cASQbfT7gZuHV5edhNEAVr+Dor0x7tjzR4lrLXlPz5GDEm0I6s71e
oJGe3TUF4Jgv6z6qlhEsBkJZG1cLiqyXtnVN80aaO2gQQ6q5ZFVU0v26BdUq+gL4jRQKYMVPdR/m
1ImL2BvR5hVab4v5+C9nSUR5H8RGgoxQ7ufwNK+7pcP45pQf9RLCBcuRIota90OxUkgD0cDBV7Jx
pViXK+U7dUsb3wD9Bzcilu8wP7JhQXF6gJFHtUAgDHT8e2mhbDE2SBJSRVV1m5A72t56wftkbjwY
FX6ICS+IBGACEDOcUjCASGY15FVeRRMEHu03d0v1RvG9ETghMI3bHU0POYZWPRs4ZniqqAGz7pTH
ZnVvsQ3FRcWN5AJcgE8hqlHYu5crZRaJ7aLEVUWtcTDKl8k/1N5X2z3pzlPiQDEFQ73rH1/pFFAa
QiAAIHdTPBbOUhYjB1I9nWBwzG4c55V433IMlP3/2ZCc4rmestqHjaW6T9g9StYZfV43ofz2f9yQ
BQK6eekB7YYJe+F7wyiOHFMCf28CIxE4IfgPs1xSQPEmu2rBIlFFGoZXqeuhRp//gxfnJqR42VOP
oLwDE8XShQHGnceN18nnpx9SbJQCsMcCpHVyyHKdEdRdbVdFbk1Du3rJ3tBYRYkjdtGpmX+uL5hq
LyNZBUmYgIBBTexya2HLBQXrhgoCWPd8hHwypql19NRc8A8eeOIe9C3ZMtVmhoOQGsKMACjqpUjG
MlIHTT0izrgU/lyV2Q+2RcSrimXnNsROPDswndVpeJXBhlaF9H3sv+ppnJGNjaBYOg/VT6F/jmoU
+vmXRshkJnOnTbi0nGvNzcKSPLuYgyRBaLjX0Ixql424I3aWlAkD0olMANxMaFGb0hGdehMCk5zj
WwXPi3ZtQz/AjawBoAu+RTam+EiY18ATObBxHXwS4/HtsUIurldRxzgoxPG6tF/aeasp88mKIA1w
MSsruBRxdUpHSdcxlYMcDdDDIccMU9wYVejRw/oO3zIiBc+2MYIhmWHESQDwBr+YVf2D2JrgJRAM
tNjQgI/IOa5uTLM7zyAmyEzU2q14Spto3Y1PW/rDAmygZytGv6WLc2BNg1E5tLznNoirNvaDJ6MI
In0jHihWCwkGRr0h0y3q+uLPz05OUncN0ugGlfB2gAwrJpn41/SvkzIM4kPmFxUSfHWkf5IvWl8T
pxMKVhWxHi02xk4F+b10I46qXDm3Yl66wospYVkirAA/6er6waDs3vK28ElKMxbWC09+G69E6VSO
M96M7oJBvLFwbobZuvUAHjFL9vfbGKrIyNAEckhM4EneLJrpdo5oUaDe7QFo1lohGkjrm+zT1YMP
A14a5DQoWRnIny6NmHVb4cHpAhTqOPspoDvMZR6mFFieInuatSkmZIuC51MUlUxKMSDzm9abBzQr
SmpjpnpHmx9pMsQ5Ju3sYm93BzBdrTsp/saLMIq8AO9rUfoDqgNMEJdOekvtNs6ARq3v98jZPXDU
NDvwNhzcxX8ak/K4bu4zClbYE30EA2zFKDxJu50kIFlmQplrQpmRFbvGRdv+UGdR7X3J81fDeCTk
LUiv1s2qvMQopA0VIaQQQAxeeokceaJlh6K11V2lBP0Z0TK+7ucgrMcN/iZFaELxCY1GNDAwSRXI
u6bKi6WtYco19VNpJTesyEFj1L6zYHhc90plSjRJdKCzcGXIj1W7qvvJGbFbHHfUw95o2K1P+HDT
9K0WDin/h0iFockAtSd0nERl5nIVJ9PvjURQQHemu0O/FXTWqJb9NegbOwQ4aYGNR8r66QUZAL6B
3YMSF1j1vTj3Ui9ciuqRGgUmT6t6z6vqbX0dVbsDGGnhm7jd5WdS63Vj0QkBBv//kPZlPXLrOre/
yIAneXi1a+55TvrFSHcSz/Mk+dffpXz3JFVqoYTufXCA/RCgWZRJiiIXFyfyq2B0a2IL8xJ3fZB5
+aZ3VCxiKnlCrtTTHliqBPKaMv2tJwOWktIDRQW+19o7p/t0+vLnQP+pJ7g4q2q3LXIcqFeBaVd7
xJreTa1iYZQEfhfAZST76JogTxYS2apmPjjwoAPNzX1r3Q0TWQNx9/l7/0SKcHJxOXZ5xuv7NDE3
ehd9G4f2ylre47RT9H9k+qAWyOGCSGZQGjy1dWthWbZkDJF4ui9mH6NkWpCogq/khkFxDmV3/A8F
XfHqtzF53UVgHQJBlLFK9Bc9fYn6LKii/q5NsdJVES+k4lwYOaBuQOqL+woZTYAu4LPP/dIc3Pyy
sH52c7t2fjXoi08q6hf+LcSbBbwGSAKQ2OAUhZgLVvpR7ydkHLnvv2sFCB2rVAEelgVApGcWHk9I
08CDdfqR4ETY3d4j1qJKtNfHajXO7BUvEUxVEcU9KbMH5E8uHmm8Ii0+DVMD8LzKRaMkc3fAEgIJ
vevNQlF2+Ei5Alc9liJcHo6dlpXPd7ANhV3+1BbiHCJqdbdguGJPhra4mBx3mi2aKgVqk25/kTWo
hgRVl/k3pj9PD065NmcVYf3Hnq/wswRn8FNGosSB8hr4e4p5iwkPZwljkmCv1qpurdBOtr3qHpBZ
K5pGuGrA9mWbfzKJo+TbAOWuu4COMGy6YZ861n5Jx8uooDsGV4y68ZDb3eczPt6n+itSSJKn2mFR
FUMkeDmCwXYC6r0P0QqAqzU6iVWq8EeZh3DULor0NpgCxNmcsWiWquAcAYYf3VpgJKft0/mbTeog
GHvGflL+dhVBImZMKp91XAJwyOlh0ksj21LLaJMga0j0Y0im5itniHITaD/w8kOl+dQnJ8YmO+bo
oaFKt6Orf6v05lA3KDm45tXAQCZYqrbSSLXkdU7wcYE5U4w0SbtQkmEqInTRFLAXHayJ1YVd+5i/
IIqqgzR/xcfiQQ0CP2DvTDfLsSQVd3c0FBiJnQMbd54bb7L8nbqBZl230YNrbmxXERqk8QduAEew
OWZTONYEfe0lt3kbtXcDrI65BUZvE2GZzHmDkaUmqBf+T4yIjOk9Fpsjdzq9i9fx8KyhWdDWm4Qt
2HGsCKmyz4byLb4XykZgbhFUiolmYLsnT/QooER95P3029kNtYEmoKPJt+c1kwYxDMLZeOSgbYC3
x6lhxv7kocmHr+WM1nXa3deei4XU9bwtSLwxl+I7XQjWVtxkjmrGRarokWQhrEQDNtr0BDaTFuW3
WX9ZcuuuQXE2RENrc15LmZmgloiGBxJn1MeENMxtpyqKM4jKW5IHDbF/+0N5QGNNtXBLFrvQMkVI
cVGDN0T2wnSwsBmQYmISbffvdesngaWk85WeGwgi8IjClYtvd/rFspGWczVARuUCQIyF6HUGBL1t
gq5R8T6UGgfe+ijxIGLxKdBTUaDJYcu8oNvsDINnHAbfiosrJJsNDWysMgBEfcp6L3BmM7+2B5Lc
m4k5XngAs3++ToNKI6jy8CrHkLPoFCRtRs/X8EPybnhCPo2xNjNbVWCRVcRpqcqAU/EKGm86it2B
jBhJ4bWImkiDD5aXxUGOdctRn7xG0/xz8c3npLRCs65uDTyHzpvpxy+LRytCNc4bhaIPlDPEmsnc
INcJ0X1bzw4o4utVDI7Lqro/L+hjPIMg4NXQ9eSvSTFDtKaZjJaP/kTUX1bOKy3joKh2eJCjM6LQ
6aPrnYriOh/lK6D3aixqQ5TBsFXPX/s1kkXVha4SImRiEyF9a/CWDjaZxP2br01B/ukVAUAZo/eB
awZVIczKCTEE0x6dTmOU8nPM3TjFtCvdYmNpqlKQRBXgjZAiYCYLAUtsHDIDSWVjoKpe9e4PdOW3
boSAHDex4ppRyBGZmLGkt8Zy1gW2VrIgabRNr9F1RFQ4Y6kYsD3x2xl5iAgB1/yJaX3r4NRYNIW6
V3uB79Tg+RqjzwcrA10WTFmjhAQSAfEdF7cdIlUBsv/UaYLSW3tumGdXXp2uvO7VaZKNh5mg5dNz
KjwoAYGB2osB1JsnmJ6T9kkWpZDqFcUjuKGezQZpj65hQxtmgAiG3crYX593X0mc4CNnDmehBL2S
aCOTFWfFuKQ1Rn/0zWS9FWzeLsjIGXYGnZf0sfIKQ/wnSbSSKK3jnlJIGrwnDLYgJ1lrEVkv9JWY
yPXWrao3rxIopCPFUEeAckFg0reBOyNjvM5mzLi9pK637rVvrgowLj1LcJ5hPo9jQMSbZXTtkdA+
r0MDsEWW3FGTrfQomFxFivzx3YaT/CsHrYTTONjVjd5EDhTLDAuV6xfbX8IoCzXyrfRfPE210uZj
ImJAJZAKwSihlyWco7skcxJ3CCOtc2GyJrDAfn3eNCSeDQopTmGLLgBPq04Vom2BQgNmesPGM/WA
6XO2zgdQt2Bvk4oXXaYMascOIMfcz8QXITpqhVaYLtrpcRMQcqtMqf4k8KdVGSzW43PPiCBAEIqJ
ztgBg9tF8GJK+ipoInLhlmTYaCy7SXTtpuxtcojM+dLQtIPndXvNrJ/adrlqzDgGDzy8sE9u0UOy
kTZPhxorcCINGVmsW5PCIz9Sp+K6Buib9/+Rp+BMTs997iZAmPKkxmyQs2mMcqcnnDBeXzUT9qNR
QKKzKNTpe7yQVWbEnGlPUW6UfHmQC2DCGrUyFMzEtkHfROhAMo3jAQ7x5AZxdw9iq+2nzQtCMDSL
VTkA0Ih+WRZlWzYsRiBAHhb1+tYB9b5yd54k3UPbA49jPO1cwGbEZHrM2sqwcoipab6uxieXcWzs
QHdLy+l0xhXD4imjwdpD0qtyTek54lnJpSOnEEcckQa2Vkog287AiUWHkDbGRZGoIAES7+EI879i
eAQ8zsCqDixMI8SkNfo7hXM9JKrF65KozVuCNhCVyF3Bd3IqwmuxTqjUENyc7t6OrqfqG4h1Bnrv
9d9sezdGitxFUm7AEqUjeTzYHqk0sMGLWJrV4dKu6u46Z0GK4rexmpeDrb36VjDMT9q0+7xFoohv
4RkCiBXSmVOhmMWtywZAPvQn9Btm1Qcak5tU+/Z5KehdYfhLh+2bYtUGFJMAWxbY4kgKtu4Gtm+7
fgWYr+I6khmFhZ2igFoBY/ehDD1nXtIiH4JRYETF6n8h9/+8HjYChGkCH4ROnJAumxkGAianh3Hr
jwY5WNgpUCh0kPkPIHZ81AsQIRjf6QeJMJFdo3EKq8M6kKpzOMlIoLwbZLaNnj2QggCf4rYTbtLY
8Wof9RCclHMxYtQEJCbGfJcnqyr61c2rslbksdyMhKsI+BA+uwb2B9TMudZHtl1MXYd5dAw5W+Dk
dEcamPPdUN+mXhoUWRq0qt1ZklPEwCFvyuqArCGBPpWnsYm0eNnUYV7xaV3vfYpxuVimCjwosTje
twRqhF/kqNWdyqkso4mSVOepZKcdltkEzfJEVFSdMilowqIGifPDFSmcnpe3OL2C1VgyckGxUFo1
oimxBgwA44kBulzAx8VymTm6YFtL8Pe1bt3oKKXm6IY+Gv0lePvNeMtUKDWpPN6kRH4KJgex4QZ8
CpkHHafm1vQw+nSLSnzg+L8t9w05C9j53C36xp8dP0aEc7DYD0xsvo77XTjEearaOUeKg4tp2Lnx
jDXjKkanP39DNHOoZXDmKBRvxSTCHq2kBtVtHcYoPoAYokj3qX41ICPGbszpyWSBt9xisU+c/ijG
7bTcJKp4LjOV419gnhpkTuhE28quQzNatAM2fpk3dkvePx0GOaXyXzWFGNVZuYGDhJpZrq81/Bcr
kPYuCMfOi5G8Yv604ADOB2gFA1inujBfZyDb5s6FNGJovNCg2CuS3rS1ikFRFi54s+//S/qTUB2F
J9ItaZqURh0W1rIrbfCR+Nl6mZ37zyuEWTW0ndAxQZ1TOLciN9psRP0rjFF7dv34jXbplY6MF2xJ
qmxCcnholIJWhfPNw+6FwwO2sSysGLLMrLkYx/h2Yc7W7Uqs4/A2eT7sdOvWALy2aE1QmV+bxoPj
dJdxT4LWeuvyXKG6LLs5/j3iEQ8tnt39iN+zkOilnoy13RkH0lSHLE9ue1Q2CuAgXeSr6DYlIBFR
mKzkAgKnIFYXgV8FCC8x5MyTyfJ5ADix6v2gNPbUCLFWsDDTsNSQ1X0//6El9uQhXnMAHABCGKE9
tdzFiTtWgqcMW8ew2plsWfFjmRTxTCVD8HQS1XnhR0kTdmkVLNG2YvGqVQ4NSs3oSBPBZOO2obrR
QxM733rDdw1zRcUqydbnz0slhUe1I/9LGh8TsSN0cbACLgZYYY9nn+k9npciPzGHE2lgKTII+E+l
eMaSuTDDJiywjN3AAH2Rovm0OS9ErspfIeKegARkOvrS8U+vXVX2TenuMhbSUYGGkJoz6gYYXMJ0
3oc9XG3lRhl1cWBabyHtGPaN1V6OYNnGmL4Zzka0NWdVsUd2fLzwghET5DoAYp8eX5G5OUhgMZTt
eRkqn/6lXlZbfzCezh+g5AYDCwsqgAj5ECSiBtu8zQzWtLAFx7zCeuFtHb2dl8AfbsItDeI8vlgM
zNScBepUkWTuR7OzkBy6XlqCSw3EAHkyY768r15nlo2Ii3GpiH8fZYKgF3O+IMHHEjxLLLQvpUYG
30aKNaSryf9uW+toPMz266iHn1UOgkANzWd0EPDEuJ9GhjX2NdKcZvxGne9Rt4/H5848LKqhzY/f
6USQGND7GtRUxYw70+i+uTlCtmp9PHfH08+Eld8O2sV4y4ERViyQ9fa01MPgIMugF8tw61RbLXnp
4l07XzTmRdwrwJyyL3Qsjjv2UQyq4yobuxHiioaFTN+DU3kbpa8a3Q2ZCvwjlYXJP6AQAWVCr+pU
1rRghzw8DZeh/jx42c4my11tdWutGwN0lhS5wEfH5RPsHKgH1jj8V7B3og1ZXPObYp7LwHU3s/cU
NevzZvcx7HEZIJ4FmwGWs4nMAnU2eayesYN5rH8Rdt9mlwkDDETxOJbZHBDamHNFYoimiHBuhoFt
jpbLpRh3TpSiInJ3Xo2PcRULwBFU8Tz4ExmEoxr1tqmaNmvCulo5DXZxvsf2jZXtS+xmzVVgTZkV
HAvjP+bI4sq2TsYRbEKht9hBmu+Je0dIE7j6vle9uGQmADQlMG3A5wHhJVx9oLOdK5Lg4Frs3ii6
LV8ARxIVw4BUCl8ngTuJ8wcKp5d0NUHZuGiwhOqO+WA38+81V8XGKrM0XOF/hQin5rWzhkgLIQuc
s9736ftiHHRDteRN+nHQY0C+iFoMtvOefpyqaXo3TyHGy8lFiYHdHZ6moC2N6as7OldmHJUKF5JK
xPJntEnRSQH2+lRiQpKK6BHu16j8ya/Y3g1bba/NzWqot+fNXHqGf0UBEnAqCmR6Q5/VNcyB7UB1
185N4BOkdQoxUns4EiO4qxORdhxniImKtTN9H5P7Jn0+r4n00BysL0F5EdtRRQgaFkrYHaA2TWia
d1O2GchB9yOAR0JHheCTKoPgowPyjOggFmESzNbPVgll5j7dNMwKMyB8KJaSn1dI+mmOxPB/PwoK
RTl7DrZZNmE+lqiNhTRdM8MJhvoLoZRPu/xPHX6wR3IwIlqYINnH8wHrh63Re66W+Cuf/0iE4Kmo
jcVYjgMRU3xP0pvUv1mooq4o//z/tBB8prf9sSXckEFatUniizHftqCsSGzsmVE+qbm5ignJ0ZGJ
qT2oOOa+tSFsrBLMpc58ZmDZauTVGb3V4JbrabFXrTNmoKSZdvni/7fzFLMGx8VQF7jA/oTX0Xyc
7G3UqwqaCisXd+iYBWgJvAYyis5fucmNPviBq4LPKGxchKq2Tj1jmRyEGPHKH9aTtyHmwVUVdaS2
gQEk4J5QBcHq3VMLt3SWJAaFlLl5x86Plq2n4q6I4tDNVfmc9NQAJwbJB8bUkNadikpstwdxc4NA
pz9a7boof7mqWCrNTI5E8NToyF+zuBgsL4I2TvXsVW/U+JH74eQ9eLMZAFBzPgjJj+6fPkIQciet
qGcbb7BOA+VROq4SSjERG8zkrSbP52WpFBOiRB/Hk97WOLukIzv0bib6QgD9MKzvZnM1mV/IhTGo
8PdLCQEDnfK8i21IMyv7rXBZGqBjucH6lP15rST1LmSS/wSJM/+AJzfoveMIh3jdRY+kWrloHy7Z
jo6r2tnVKaJ7sot0FXiYK/AhSB3JFe7cxaCgL8Ygaxh1+fPkZ3ufPpKIy8Rkmp+FBqrRbfeVtPlI
qFCLqqOlT+IcQse525TmXdPO2OS6NfvvMxYzl/P7+cNVuJvYhgM6us117m7VCPgwZkK7obkvNFeh
leooBZcDNy9ZphJi9PqdZGEzHFzwwjF/l8wh84Neldmq1OL/fuTicdEkGrUgL2JX7nBd149m+3D+
5GQPqGOrFBx7aoum9bmIZX6g7M1iivtYAj04NXsh6FIvip1sggCPDs8L0+4NPwsaI7kD0w4WoJCL
tLppCkwIlI7K43jSes7yhUDSeWarZylEO3b9bJXjZVbEF67LDoWdHjpfD5emAhG1syZUV8RLeQxD
/omdKBi4+hMMjr5chTHX0RoQnDPNDgv9Xc+SbVIuGwMLZsouu8LkraJaIbUVXG3Au+I59wHhbmFA
gBYZ9ziClQDtvK4MG7QvKvCu9CI4EiM4NlZXdn7GcKZDOm1Kzwu7Ob2ZQH1cWr8SXzVRLj1GzIKi
NAvEBVqRpw7gdIM1YUYSecHAiTPz0B+3A/jb9CUw65d8Cs47g1y5f+KEW9sGcX8POnf4W/2sAQvj
vfT1auk3lupdrNJLCCSo/UUx7SFozB/0CoNUh4FeDPaNph9s+9d/U0oIIhgX0+qSd9rZ+MO1txXY
6+ilkV752eq8IJVSQijhuNTRriFoAEuXd51FT34Euqz7urqk5lfCCvo3HAOLRIrY/MccOZivR3aZ
Y0Y/TFJvXycvukXCrGSh4yZgOkKDhb7rcfEQ+aqWLtdCDCq8Do2RQ/CDgjvlVDBxejIuMwSnqb6n
mn+B8HmXdc7VlCQqZ5PdN8eyBCXBIFjVeoUoQs18m8Srub4blx0qNmtfC+LEBt+a9wUXOBbJf9LR
udpl3LRFCvX64nfpXWjjbzpgT0oETl4VqbXMXvjDGQSUwAChL3YqqhungRYg8wiXfONGGLB9Nb3L
iNUb01x5sYqlW3oRHYsTYklZu1Yz9hDXIqd07X2RmAEYu70YzTL/0qvXTflrdByFU0jN5UhJMaQk
xeA2Fv+E2pVHt1ONsiEQDY6KTUwW/o+1EyKKVWM2bUCNKqzn11wP9eQ2Z4pMmf+JD5aP2jv2KKJZ
Blax0++F1sgYOy1umNqrr6cmukfGpbiyVSKEEFJhSa9XDx0SrCa6hPev2171CJQeFB8IwdIHPrAu
GDgKRm2K1UwAHmFGyki+9zoNMhWDnNRx/wr5AINGkQu7OihCocvY6zI8pn6yT1HMpW+99pClxp0H
3rfz0Vd6dECJoZXJ2ZlFbG8FIIGHPdooE7HXzr+1VaOdUkM++vvCp6F6xSaNp9ip4+w8P71JcvTJ
41pbR+wrdQ0wCHrozANGZVnCN3KSKQX3MXRBv7MIYlcrg3QcDm2i6o3JjeGvIFsoe44uLcycQJDe
4FHWvPzf2I4ipMpP7p8QIc7pyDzdtIAQUmDSsQg8DPmPT2micE9pOCWog2MZkIspVSG+VVo/MM+C
GMZxvHGRhEmJxWiEpuHi06DJi92MJ995q5NkTGAvwpwQGE0BsPwAYKlIlgDPXmMuZA1ieHsCVUfQ
1SvNfz4vSPZ85sximBwD2xZGb4Xok4P5wykdH2gtMq5tVm61YtlEWJ9ZdMtusH+hG31NUJ/KmHOZ
EVV7XaYncDpAKvKJVfz3NPY5iz5Xcwawij2248rCcpq1Med+MOb1gEUyZrXSE1BEnddZ4tIAoANe
itY3pg9EgJpZjRWLDPSeimgsQOH6NjOMWp6XIWEdMAFb5UXfP1y7YhV7WkjvlCMaQQ6zb8sJeCBI
Gy487Dg6aAzbpDSq3aLY5F4YSAFCc8l+YHAXyCFnyoM0Bpdz9nnCHv6TgHnF1DrGBMU+b8NMvaQW
9J7IO2kf8jhfgXcYp86CyPEVcVMSAk6ECXFtRJdVbxwIozEFZkYjLDRBLxVoCXs7f9SSSwGS0KjE
8wwvKNFXqhYVF79HatWxCRvokngKijTVVgbT9i1LyaYrfCMAQcyvgdaP52VLYtCJbG5qR2kdtuyN
4D1C80pbnBDzMq65agZrbauWK8j85FhHwUtZhvpg36D7ErP+2kWy01Zbq+mwGgWksPXuvFKyA8UO
AsyygEQNQApBWDIsnVlQKDX22KHbWiaIsnSHPmNxD0EJtPqZFiAJrrspe9K7sVQ8uGVHCuiZB8pI
DB6BiVA4UgoC15FqwO4tTRdkSzfckqFvVynBYqploaNCnuxoMRZEOJ2DxXmCT+Vh8m2K7Rzathhl
nMZnvz+M0c6Ir9JB4RKyVBnzIn9FifNwS13aJLURE2xKosAgU8jq5BsZnDA3o5d87PbAKL6zxtwz
/QtP4xPZwm1Z9QTlX1S+8JrLbies5Y6JcaPVXZhPRdAsrhtMRLs9b0iyT8mZP8EgYaCCIr5EvKz1
mpm3qUf839FDLXoy0nzFYkUEkFzRgDf/k2OefkJ0P/spsyDHi+bVVbWqKwwutbdavvHM9XmVpKIs
i+NKQX0GaO6pKFcb89EiCDY1GAzjtNyCSavF5pvO2BH7wlMNKUjFcWoMnCFCnAgyikhTkj+tlVGP
0127OAboYoCSYWXNrv3SN1ZFGl01BbbkndeTe5nwKAFlFSpDYM0Gn4SIMLBaE3OUDFlPU95wah5w
6eqqFRZS5Y5k8H8/Cp5ZXlmRPkMGzdy3YcovojQNkW0/IDPau0kXWJq7Oq+WTKQLKlq+uAr720V0
2FTOrbdw/ONsPGpa6Mff3WXfz48lmjvKh7gsjh4LEy6HejQjbAwH7MQFoiWZftoZKFyBiNStH4WW
BNF8kZJPY1WxtBIvMHTpUW7DIMPpkTZJOukZF6kZy4Yaw2EZ0s04O5vzxygZI4Qck8976DhIcIae
ylnGlvUtv93NGXsxrYc4RYsMjCYAWK/M+B0NGLz6NW9FStWIhuxQwebKAXdwByLy5WV6BnB5A1/X
0SnDeup1mT7p7vPoHGL3vrJSQBK+cMf/oVLBQAinYRcuCAy/xVmv4UyNxHwYMbU4luY6wexJh22V
inOVlNbh6ng9/58ssfPt0QSQkRznauc/E/DwllFUhUBRPXVxuk6rem8OtA30xr/x9Pj5vHDZRcgZ
DwEtAy/nh94qWjxTP+q4nfxiQiS993HvA2QU+FocVo0CFaESJvjGsmB4JzMgbLLe/XhrDsWqyF7a
dk2x5fy8XvxPiaHsWC8hoeiWHtO5HMs2Gc9m8QN8HF/4+2h0AkGJajqmDU59IdaH2Gt8/P3eLx+M
ZHozS231FRE+4BfYZQA2RUFEo3eWX6OlBDLRVQHqRB2Lyc5LkMV7joXkW2tczDGLDh0N05yh0BW6
+hCSKmA9OIBVMzOy6HssRLinwQhpeR2v8Vr+U+vuy2JlLh6GxaywpDfl+3mNpJ/9SCPr9LOA/4i1
pIIwk2qBAd4Q21B8eOmZuZguBrUNMM4iThtV5NQ1O5RuWAzgEAan0zAunoys/5IczELCK0HMJ34b
bOmAt3B4j+cl81ZHHrzOgaVeGUavqjtIv5AP6lpEOmRtYjKs6Vle9ATxx9e79eAcsnRFhl+kyQO9
erSi+89/Ik6cAJw28AAfprT9BWS/lYtXTcNeBlRwNFV5QfaF/gnAZNOpDbB28crCgwBn/uFCidY9
JKqYrZIheE6CJmhfZZDBnI2f3VnkGpnu+XOS5dHHagh+0+ijjhI7RMzTZZKBrWzfjCu7V8RJlSKC
wxDwsZujBSmd1W/KNt9gE3NQDp3CmmWRHyQMyKGB98Qzk/+Mo6zP1Ux/mHkQ4MuOvCDxn3KgInPn
vfJ/nz82qUJHkvixHknK/JEht4WkBrzsDjh1S2db9IqMS1roOdaH63skpcW8E2tmHNuULnfE04K5
xb2ZGCvHzp8mY1gl/oAPx9DYclb2MkxBVaebosiuu5aqfowsfzj+McJFwWzSmyyDytTzn2cMv6VL
vSlAbeTWyYHadoAQssX07Copv4Cb4uQa//uunuBrCZ56o82xZnF6RelbCw6seQ1CCYY918bDf/qy
4lR1lUTegDljlH7dZF/FoLCsAJ0aVTQoCgPyBL9zjIottYvTxCBrZ5aBPcYBVhWf10UWco/PTciE
qslpnZSDHQm7NczQnO6G/t7ML0u2K1U3lkqW4HvF1BoL7fk3ovNlNTpBl2HJ+tSvpyy5zSYfi/0m
hXrSogdnNgIlGt6wiPKn/tG1Q81ajqfDrE60L5hVbnCO39wy3mdYhxxgOwgJc5I91L5/0FvWbD59
vnju4b2HpAZdbfEJPXlRYtXALYVxnSCcvc+1B3cMyby1p0Omug1k6kKc7aCJjeoyyuqn6hbtnPkO
9giHXqJd2wYyeTKglJSGAzaF5CCBY4mzZnof6KzYnddUYq4nooV4V9jd0HcFNC2Nq6xZF+1zFSlE
SII3RAB9af3ZtSZWtSuniVLKkRxZe5eNK81eZ/4mmi4GSwFEkOqCdV2YokAREDtfT49xYrlBUhfH
ODk7kx2S+jmbH88fl1SXIxGC4xWaE+dRChFVus7GqxaEfCAxW+jOV3H98oMXXiAY4fqnjGATSzf7
NG/wYUAvWqYH1rzSGCD6t/P6SBJe1PfRLOIbXAChEBzNzasuWVxYnE+w/g4dnEG1QlP2Uf5J+NB+
zc3Up8YICbp2O9FLr9+X0erzSoC3BIwScCLOwXD63cGdYk4L77bFpU4BXgOTKfLfUpHqyD7IkRSx
EOs2o6U3MzL30f422GFpXlTZy7Bsz+siibbYz/lXF7H8aUflqCUpdMl8ECSCaJ9eFNlGy15867pa
7s4Lk30bPvGO+jInfhXnM7wRI+egrwBwh3Umqk1OH8xLk6xdjMApTk9maIjl6PRDEoB4QsarjXjq
IKzz1s686pfhgumqTrXs6NDQwYvaBfcfbPrUDIiXTKUJos4wARE2di5jf2+9NVFMymr/zk7ePKvc
nz8/WTQAHRmHsGPkFvSZpxIHpL4z9pOhDUDBLzi1gandkyIOCNOClCimilXChMSitYBkKAyeA1dr
bF0OGT30S7ZhBiixFdcfPykx9hzrJQRSjvzwcj7sNNFrHVRuWPEURNm6LFd9NAAKfqshCT9/lDJT
PBYpBNZuzic2DciIAbM65JX/bcCAsWUnqh6rzEhgI6iLgwkfWFDBSKYFj5NYgxdToBjN/Ll1n31g
M929ke6iRJFay8/xrzCRxLkeSla7JoQ1cbKbiwpjl+MOe5/2qV0Fmrv8Mh06Bp6mqwZFZLHqSEtx
TDvRs9nJOOS7Jl4wtk80NoMlvQIlseKzGYrzNAWrHCPM305cxdlsfiSG3QV6T8I6Z5duQ9elbq0y
Pbmh3nfdiVa196TpzTbrzWBw5huzeYypjS4PNq5h3dIXDIpTSYI8C5WJDxgcSyusxoVvUife9T0C
djr8bpdOEa+lXonS5x8SXb486jQEGD0gsZaGEOroj330MFg3XbVdfsbs5QvqmCC1Mzhl5Ifh2tlv
J61dED/zzA4ZHoS+iyFEVVtcqg2yAKxt5sSEYisAm+vLpLUhRXfyO/yWMMeGpQjELmVRHwZDdSnI
gCRAsP2TJ1jPUi8LQhnSKTxrzaDTfy7Ja02xn3y0N2jEXC0Ge4z0J7fvQqdQMWdLneRIuBDlcqpN
RR5PCKh6ceGRh1KPHvJk2bg42S98vCNJQnBrLGPB4iAca53vANdg2euoGoeQKuPzIUvQMliYTz+1
w4bOk91XUCZNfnbWyqs2aY+RfBXrjzRM/xMjpidNnpakyyFG7zEv09Qh5bMkX3HdIyGCVfiDP5lp
x5Ps+aGdd0V/n8X7L3yRIxHCt9fqIsYaYehhECiAXUZmAriyIjjKDgt8yXjTIRZjTbjwTeIyHyOr
hpC6vcSuha69TFQbF6RPRzR+EIA4hR/49U6/e9roRe5SHUmP9z6yxzhxA+xgwIzl9Yg4QbPAzB68
8gvtEbCz/5PK48hR/QoPF+Zj5wsuNiwNGPTQAQb6/AeS2DMUwtMfIFCsYxTxJC0a6fBNxFWbmk+5
hddJasVvIyVAdwyqmo0k7AHTZRuoyhvIvcU8bmbO4gw9/FMzfmKSeeWwfK9VbOWRPrCy9/OaSazi
RJhg3S6NDTOZIawsDiPtkHsE86zolElP70ghwbyxz2SxjAlP7gWYmMV8Mov7HNOoifbzvC6SBOdE
FyGwzb2m9w3+jzX09AnDvht3QAXKb1ed51+x0XoCe/nayVTmpzpC/u9H5ucspj/NJf9eaDc6gDaU
NegxFSGC/3YhCT7RTfAszxtjsLBCtxhEBqWHvc2DCkak0kNwoxElPFrE0COj1gUQ+Jgh8KGIaku3
JEc70YT/+9FxJVg9U2ObIazB3TrDpTdsaGdyfwrIUIa1wibk5wbKQvBX4lkk3kRDaZTE7xG9G1av
rP6iTVULiWRpAxT6K0K8hUjfeRxjjapFEoxz4BuXlIQgbHFBpEzzYDRCtAcdlVh5lPgnVXDcxJ+0
waghtWhJ0Ft3Zfm9oZdTQoOYKvxXcYau4L8WTfO+5ZUsB8TyM9t6muoil3vuP2X4LziyiVqb6qb3
uQS87bw5oPF6zrZlzon/QeK8navd+VChOj3BZ1O00uhSQiAIdDF4tyy36ZyHY7qardfzkuRe9U81
wXHnyi+7UockUDizERUnI6gMBcBbdu+emKDguq1d9cOY8kSIAce5ctKXrnodMOY36a9VtmJmMKko
l1RGIbgx5qCAT7ahl2U8j9GrsoymOjchXTHaCSzlFH9/8JMfGpt3oBB7GRqyOf95VEcnNn0GLEaY
Fm7cTWxj6mcDiqU+BrkjuE2TK6daVeaBqPiwpBciGFTBcEsAD/1Y58TlH5kIgd4cr9JS31so0bja
uwto/nn1pF/pr6QP9c7OSPVyHCGJdRgt6uqg6b9i30cShCdn7brjqPNw3oEK1p3esTUpVlESSa+M
IxlirPPaPussfCNSfHew1zu+RpuaFgPm5IE5VRyZNDRwQnIXuGgwzQuhwdBmt8WULHzJvLOMIjC8
Fe0vx/Sm0bbnP47UxI8kCaFB97NxzG3utf29TlZEX/uNKjLIDeCfNkJksGIzrZcZ2swacoZprVnD
ujLXRjMErRHW3YxNIeCNBvbtOS+/11M4jwoPU/0CIVCAnw/p5QAt+/qnY72jzXn+FKV3x9EpCoFi
KfwlKinXsHqO53vfwJqM22h8pGRV9tjJ0KhA0AoD8YU2MVmqyK6wIS+Mwcbm6mG0hHMM8q8knFTt
CpUowbmcuTOX0eC2iJKZxr/Xt5R9m/IDUdGQqiQJLmZhWmV2ey5p1oBavUi1JDT6wKHv1FM4mDT6
gREY4FUQRKL0eXrZtwsDwyvGO0Pde9EGLIlw3gZy26uwuVLvOhIjepeZFn3Ma1SL+wOzIdN86USK
iqrUtI9ECM41eJMxuvzxNHsPyfCb2fvzpq1SQXAdkrUOeHlxUmaVBXoer/Rxa0W//5sQwX+Y3Xrz
xM/JnBxsFCsxv7+14m//SYh4y5Zdlw14KuNphnsoM9eLRv4fZ9/WI6fOdP2LkGxsA76FPs5Mz3mS
SW5QjmDAnM+//l3k0/fsbgY1ShTtmx0p1Tblcrlq1VqurdaI2Fb2a/5yLlsW8Woq4FH7LeRfVbBP
/oFFCh/8f87rzHLhwgES05nSHgx4e6L9pNrCK7O7WN1RjNJd37TFyHZma3K/s6zYUGYY2wVsBfk3
H7I8Y5F8IhGDnC3Z1lJuikLvhKW/XLe6eNmeWZ2dm7qmVjJOL6ag+8rzNwM0121p7RJK0VWyHDeN
4zV5yZWIMGedzMLW75zpfq9z8PuHrvS34JZyjTUkx5p/zM6TbaUl7aelmcPR6Te6+7zK675mYnaa
6nLkBNcd/EPu7P45Tb6vQqxXTMyL/EXqGEMT/Nmt16R5lNUzVyuBbdkEoOJTMxF56jywJawryHSQ
hrFxw+gQ+28AD133s8Ubh/1nY/YxGsv0e+rAhkqGN6VrV/V8F/e+m+fZl5SvAZAX3Rr9eLBugTEY
5YDLw1SUAvgnhgvOxvwCaMVc2ezaUm2K/CaMjmStarzo0uguc6BCMezBZ/dp6Y+xHGyYU+QLH26c
4hhmnnaO1/dw8TudWZlFCBEnKMCnAw4OuwNehvSfQ2PFxOSwHwpPmKOBGivWAUTt5b51ZWJaOkBx
NcFUGTnQeFuBbdDsN1Ww53bvjvHnf1jTmcFZ/Ckb04iZgTUlzmDeWchLPL8R6FOQYY3VZXH7zkzN
3Hx08jjqxxEgChk/jWnoqcC+TfqV8bxFVzizMnN0Ez5dBQ2sWMneYWByftTkXqwh0xcEJSaA2H8f
ah55LLC89xJmujHYYNAwIaVrhfdFvu2zTy3msNUtBk2Uf9tWz0MEkoOd/KcHjT1NJYEBZWLZnPkK
B8VmZ02FeFTIWX8nhq/WWthY9MczG7PdZOiUc4Fa6PRoCtlG6+92/a0et9T/WfBtsTZJuvjxzszN
drUygpqUPpbE+bsYflDz1ZK3q1WIxUTSBoM5KDBR+p/zDzpDIrJ0+nbV0Htt8T30V3xw0dPPDMx2
reMhV7kNA2W9j/UNKJlAbnL93C4FWLzRwZ44xXQ0hi8/PoZGjdAJEPHYkKXPeVjfSAE4yNhE4qbG
YMl9QCAMYPJqTTF06RMBNuYAOwTs7gcxV7NPeyHTHgHDerbtJ6CTevM2XnvGLu0gA8s4w+S5ifmi
mSNArsfIi5BNx8vc+GD4CcQI5Tu2v76LC54wKfyBMwFzvA5aTZe7WIFj2FAOdNIJ5kFB1uITFzxs
a1RF00GcBfULK7N7o5WF3TcWrGCo/THPwYJaJDtQ3L9UqFtbKFxfX9TC3kHjhoF9YuKIAbH05aLC
Okm4009K7E24zcrqB6t7zzLISp160QxD1RE61xDjnKf/NuiSQQ8Ales2yt/TFjh2Wj7KNTaNJbg8
apsTrTicDT43/YyztNxWlhY8hP6076Ri6xRx9Eys8H2Mg2irWHOn/fw+jqzPGUCAbjtaJz/QzCX1
WLi9X8hjXIk1Vpml72lCOHkCfkFCZE4g0LYm5ocLyENPwMlOZqOb1hZ1beS7HgSUQjey1gjYFk1O
fD8Yscd+z3nswt4OIB2otdf3O9nc+KLEf18HyKLma7j8pRot5O7+szVLpriy2sjisDWAklWHh7SN
3Ep5ZLyvxw1jTwPoBEpje91pzYW4cmF15rUWFNOzqk9AT6DjiZ+lt6OTSbPqq+87w8mpFXugviV+
+V3v5LugbqCcmVjEPwaEtk/dkKToK5i0QKOzJ0dJ27L1qrJC7y5nDYWYpyHpj7AKrG2nAgSWGrjr
3k1Mlh/8WAVvYcqHZFMYdbhTfitW6rYL4RqzWDiRgApizHYOIGU06wxjIkAeBUTV2EsjjyAkDPm+
s09pu4IWXDqZ58ZmyXcXwHONBsYwEWuabmeU5BfFIPNzY6jky/XvtmZr9tkGZcRZEcMWC55rfszp
3o+9fzEx4VSBVOb23PfNnGEcosFxS8TvPn2E5PuqoNXiKpDOTTrsmMCeT683MotUVyLIEDHs4464
aCWglrmGOloagwawCpreUDMFPG1ezzCTJjabP7ulMncY+Pcg/aGb5M7EYF4zJD9LanuUR57Q8WGE
ZkwQq8frm0mnDzK/jNikcYqbQVhiHk/jhNS0ZNMHg/bAFsoxn4k0up2QmHEokghK0oK/kNJJXELU
bS+U8cWOkmdNG2sLhhRj5eMuBbbznzOFhbPwrkVO1TjF0paFbgfhg3i8F7VH4xstX68vfSnCYN0U
c2S4nCBFcGkqxZh7WMWR9jB4hIGHJvA9P8V7hw6xj1dPZdRrjdZFiyApghoqYIK4ji8tEiftYjZZ
jNivmm47dN2L8WCt9VDWzMwCtg9Z2Y7mMBNn9360yf1TE8G91rgClr0Xkm9oBVq4heT0Lc++VdMl
saqKWHtBbEe7Ns/cSEZ30TC8yuZzmCanMmm8gqjPjWXs0mQ8CvP9+idc9BYgdyc2DXsCu13+gjao
dMsFrqaaQ4nhE3zZ7bN9qX7qNRTNYsA+szTL2SBICW2t6RIsa7GR8XsYNm7cEzfEm0c13TH3u5Uq
0FIuCu+Eng6o/3FDzNZmBENbsukCRELcuzruh03Z8DUgw1Kk41PaArgYuI8+uOSgOAQeU+xgsYni
tx5TtGTcXP9KixkE52Sa/IGyKJnjb4FVtXlhINElAdiGbvrhU+PsyvHOAccfFCCovbHXRoOXwMiQ
t/nP5iyQBMqHxomETROSRxnkCBHJ8m8tu2f+rjA3o/UQFt6AQGe8F6aXgIYiI5taH63sKLO1FHxB
4RvDqmhHYSh6omGaHxWZVtOjHb+my24D6Qr+y++f8sg1fLczXyzfHYMthZJN+SDiW5ZtfAy2FjdN
s827L4naZtHu+idZci6gev+fbApE9mbvKepro2S00l7T9q1LpgS1zrNqZQhrKRBxIB4hBQ/fArfW
5fGUfYYkPWm0J8ivsXrPLRskeA4G6f8BXYnLGqSzkqO2iKLfpaEmrqpe8E4DeX2U+N6jenTWhqiX
TgqCHWCBEA0Fdc8seFfKyRoM42gvHcTBFsXJzujBoNVKsjbt/Pw+BusqXksgRpkoWC6X0sVJFiQS
WKyuSqVyx46ShxYcdzclKfSGlTV5ahuzudFDTSxv0GH6+bprLK6TTV8L7UGGP5c/ALpNarQa/ACj
OAbtF+Lv9drnWgqmmMz7n4np788ujiJnA152MFHoEEfgbrS2atwELQH4zQFN4fYfVgRaEjzrsav4
c2mOFTGrnHIy15oe1/IU9mI7qPH5upnFVZ2ZmV27TQHgQl3A20HFB35quyzd1PhsVa/SOOarYN/p
X/vgJ2fWZn5iBsoceQdreNjXyfsIHqlQv+HuDfPPtbPNMuI6v0hxBP+ie32df7Lfa6ZndyEZK7/M
BuxnHu5NctOW21CeUsPTxT5INk6R7EtyY+WlW/EfvrMN+ZewPPrNo1rj4V+KL3h3T2zutsBs7uzD
igLIVuFgD4xoQm8f8myjgk9yXHmsLZ0IJGygi4S4PN4dsxMhu6QYKHQgoPRN92VPd04Vbgefrbjp
4jUJ+TdMGZtQlkKX5NJPA2G1VVdOl8QACp2t7kLx22jLJnYH34z8nVSNvwWXbP2cIGW1vTZFrxRv
Ah3WKzf20oqh3gaO/IlgAbW9y19Co7qx/biFK3c7yb6m2iXGGtB66bic25g5cAxUXhGO0+UQbEbb
jc2DmYC0MtuBbcD6BwAvBqpR/YKm2vQRZ1vbgCIUlyEWVI64HhozcqMm+ofAeW5jnnFoo0cyChu+
g9EiaD/So1mF321d/Uv159zSzCHRarCNIMV1l7xW2b1VP/TjiUQP6uX6QV/8QmebNgvT2ukKILrx
hfz4Jai4m0A/mm8gsDbyPbLulbCy6HN40eNBhnz+gx5mKWqrTug08CNunWifmE/WGlXCUrwAm+r/
N/HnAJ7dO+bAyqIrpn3rPo/dT7Pa0NLTa2NgS7nVuZVZVDKVGbOmw0JqKGKbTeWCweL6h1naKiA8
MeQM9VUCMsHL4yniHCVHQZGKsDuBcVMN0OlaKXwpD/lTCSeIrihSzY6n7DF9VqH5iKYI6or7EeOY
Gm8eMw/cPt/XabyJuu31ZS0GwHObs4vFSmNqIQoingejy9O7OigxSntL9K4bvCq4B3cGIHPXjU57
NbvMnEkklwhGIOc3v0OMOohKoOLxTgD4uZ3oyvSvaEBntfzO1tgP/pQULo0JcOdO9T50czEnOAtD
Ikia1G4xi9kI9KYxBWk5rTvE29a2oIj30wHBXyfeczq4MgiRJ+/iQbux/M2i8aRRImqqA+/vpP1S
k6PlPAdNCiXSZGODb2cN9flxX6afKqGOje8vIIR+6WNEySEfNX5qUm1V90z1FzzeWoI3Sv/r+hf4
cF5AvDspkiIuE9BezJ+glQT3bRVaCRRJoRdfjLx242Rc0z39cGYmK1JMJVdEmA/fGQPvuZUqtCcw
5z7eVFn11ksTonCp9fb3y4EUpQkme4YO0rym17Laj+WIbIGEwTeNctloBt51Ex8CM9Yy8Xih7o8u
FZ0DRNLaYAmqHijo5l8G9lKPoLruXRoEbqo+CWt73drSzqGiimccpjhMe84MwNJ8iEdRok2lyk+C
BndOWH6SwRqj34IbIEGfpnMJZq/kvAtLoSymdJAh+yHssz1UTxUy2+srWTJhCoo5vClofngmkr5r
eokj5YV5Y3ngKK0RadZosD4cHAz4cRxtvEdBkv+hPF0qDBqDI0B7NEEK3r2ytPYC8Wxw5o1spbH8
4UKDLQFXADcIn+RPZ4dU+bqVQ8KxZw6KCL8NutHjY9N/ur5tS1YssN+APEOgdCknBzm7NgfRofiV
ial80z9F7DsmlU556kBBcVwJxh+r0VgQmMVRj5qOKMoTl6YKHlg6tWGqBGNz39y0DN2Yg8wOBr+l
wuvHrYViSdR9iexbgJb+fp142KOFJ9CUAWnMpXHZgKc0b3UKIu7MC+297RzxnnTR0lgxtOSHUE+C
AwI5jdnlWYbgMMjVygGGAPDyoGN+3wf86fpalk0g3UU/0gTL6WwtZkbKkIO+EMKxwTGvOsxMtvmP
6zaW/GJCEePthXcCJmgv9ysIoaYBsdUUTazvDspZ9pcSosXkr0Xk4BP4JASeB0/HY29mponiTlol
dovfZoU8aW5vMGu/8k0WotyFlVmyi3ZHx6iClTLH0L4qIVbAf+pUr/RbFvcM75CJ1x+10PnwSa1E
JLMWZgLrXUEdMvHdotqsDu9/HIubNu1/dnAZXW5abtWZiDrYSdJqYxT7sf/KspsxNN3QgiSqvM9Q
nSi8ZI2qaOFqurA7c22zkEnQ+pNdXm8xqualrXSjxNm2PXc5eyaoE/y1F4JEmApgHEDug6rZ5UrT
3ld1X0O3BbELvGSZq+rO9dknf20Qb+HTXRiajtxZGLQAyqdsgKGKJfrFVsw8or2b3Q5l/jUG3fTK
uhZ2UqItBSiFsDE4PkcVNAZGxilDkKjy+BN4zTZ10DQu5rDciKQnhqKcz80Vm0tLhCgS3sfILZwP
BZXYpmBEjprUY70FkrPWbcONTCHvUKxUhhdOGyL8H+7n6VqZVzlV25WFYyN0oEZ/4+g0dC2KXgCz
1zhellaE5NWG6D3U6lC7vfxociB528VY0YB3v4IWr3xikEQp2crOLS7ozM7MOUJicKtVLWKhb+8V
DTzT1pu4GnfXnX3pgpTn65ndxb0folKlsR5/TDdxPIIkcVfZW2vwcusG2uo9mH0LY1NheLMZbxX7
W5DP9FbCsCM8BIm0mPcNUrAIT9PkqScxRkCNeGsOfEvN7Pn6MhdyqHMz84EFnzc0MRKYCUI8g/yv
HSteOMk2tUkPWb7mjIvWpot4KiGiiThrhqi+6I3OGbEouAXJs1vCvyv1K2irTYjXz/WlLVzMYHlG
Fwj9IMH53CGpURGghbA0ptJHQ7M7u/h23cKiK55ZmLliQYYy0BIW7Kj10qB1R1o/Q6FixRUXFyIE
OBKgvoPEfbZrtUoH3UJ+x6uc4InY/QtTa+Nz0+G8eC7/eZlDocnCC1RCJuDy8GYK/1tnAs7e+8/+
hKvKXm0UO3juOi9pugXXpc1P9i8CQv5U1/vr+7gUOqDAA1rhKcUx5xz1Ka8KXwwgUY+chwi1qLT7
oZqtT8aV0LEU6Nmk3IZlOqDFnx3pUuiOmgqQpIjZJ6CiN31muf4Qu1Im+9ahrtJrVxldXBsKEBIf
UNqQGbrc2QRKiWnHeQp2SfaZB/3RgorcVztht3ktTmlTWd7Iw1ertJ9V13euiEN6LHlHbnxdHAUv
2S6vC+0GlL1d3/WP3QV8dKBRkBZPHSjQlV/+NPS/UHeERIZXFJUrQuZ2FnetFt2Uro+OZubvRAdq
KaNoXBHFHgViRqSnGBMfLWDrbdG5hfgtirWBtg/1MPwsXOd4/gocWnNeuoH/+10UIqFOa3uDXimW
/jvOq31G39LRM7JTrjfXd2LpHNsCuE1c/hLa6DPvz22jRuc8ST1a6OhQkIR7MQv7U8YS619MYYHI
niR4E+dnmTuq8lOJxWXleJIDmtI9ebXs7uX6ij6CN2HDhhUgedHh+AA2QsPT0mTKSkdIgdpx+NbW
6lS1vwb/J+u6oxPWoSsa4qGX+0JVvxWgR98YJoG2TENXEv6lDwqGcuwr+uBCzBHTZS5opwYfT82O
uqzyQHgYFDvITviA5A3ytQlXAubSmQMDO1RRcXWCjH3+jgFPrbLKAB5kBq7ffLftXZqPnlrDxy0u
7MzO7CXjFHZoOJmBsn37VvePbXokAuNWaI/JE813efcPuRyIHMHcNYVp9FcuD6xClDT8LsSBdcAt
juq6YXRuVdKVMLl0HM7NTNt7ln7zuo4qClVQEAw9dnbm1hi0cNYwYUuxGKEHn2kKjOa8+Y1zoLVs
FM5cf++HJ12C8do+SLKr0224psG9uKIzY7MPFZIyq3QS4XrjxC2KW1PtK1BWXj9zS8nN+YpmkT6u
ggpINqxoKHeG3XgpBgnD7K5Wb2b7Lw7+33rmqo0thu+6JICpgH7JnUMfP5Xma7GmRbp4jM6szO4H
S3ZxXwlYkc5R5p+H/AFY87ZbufwXDxFKGvADvMEwejXztiBpI6Xx2AtYsJHNL2IqVFs/2xVIHAy1
o4x4zrCWiC45xESlJSFMg2fRPOKrKDN1acMhkMVvZVK4URlsnTV6uD8j8vO06tzMLEGsKfhyDAkz
Bsrlb00sWmCeK1VH21bYwwvHZKC/Azl1KlxARBq9yalsv+FK7jaDpAGG+Jw2MTykBDR7dkyj/tQ3
VE1gpkragEyXcLUhBNJJlpn9XQ+jfG6tMslRcKDOS+RH8qm3wMrTar/6UuBfQTcWyI33pIASbx1m
QbwLDN7WaDaBP8MNa/S7nsoOBbUN7qYKJK5RARJuk5F414U9S7dd1/FqZ1eJBdLakW2q0s4fc78Y
IVAaJWXiNnlte3Yv8l0B3IIOasy5VjxLE7cPm1y6A/qC97Ks6ehaVp/+NCAN+j6QuFausgFhdMFP
gldVz0ek1FURNB6PctO6iVubbUw7IC9d0fbRqeGD9UhDLfstSBe6YGv3ZvIA4uNmA9xyYLkhxxwa
T4Bhwqwt8T+FueztU6jxXPSijtkPtNTlMQxKe9dHLYL2wPOI7HkqofImh8h+66IiqN2maZM9Lets
p7mTp7tI1hW6jYp3t0BF9t98EkaN1/VGDqkhM09WEoalQ3juQrOYX47dCPk+HA+Nrlnl3zf+s43a
khO/Xo9eH1uCyBjQhJpIiVEmgDTV5TmsIsJDOtUxh/4hzQ4gzYvIbijeQErr5tGtbx+Zcbhuc/EU
npmcXTS901Z2aqDwUgKGnJtFiCpI/hTk45frdhb3EH1H9KMBW8OZv1yarIqxTRPYqfvy0AH7nxXR
W8Ss57zpVj7X8jb+Z2ve+e6HFMK9U8V5tA7U+U6Gp5orb3C+8Xw7jtsqhlT6mhbMwiNjglWjb2Sh
no75kVmkBsIjKAEQRi1QnoLiMetOZf8jCL8NmReJ3YADq15xzl1MtZp57WbmRsXvdfL9+jZ/jOSX
v8K83GZMITl+HeJXtDGQjv5LOcSblPSeH266/HOoPFWtvFs/OhAsMjGhkidi4fm6U4G5VhXWKVQJ
hJcXxo4r59j5a2YWarywgwcJuskWuprzxpzftVaejBluws564RIav21YHupQ3lgMzWJtxp0XMjzy
alUeVQZxLHByO3/vWtOvsCYGZTzWMIJ4ub8+BUaZxsjpdfFJyV9xOLisxK4aXwz9rR3uMUY8jGut
msUtPjPKL40S7SdByfFRezEeImq912Gzy0q+kgUsnBssbuo6oJyOmbN5BYKgR+hnIFMFBTuYBfV9
KV81bn794ED3otzq6qT9NbDwx7gw2UTncNpS3IOzYwPlnEY2Jdyn0r/KKgZl+b3vD8AS/rp+MBb3
8MzO7GD4UmZDYmNtZXWTJd9rvaXd03UT02e4zDQulzLzjRISOoCpYCl1+TSSzO1BIH7dwtpmzRzB
MStbhCkWEQNNjah9jJXzZIPDF3M1K6YWA8nZfk37efYA0bkToauCxaTOg2H/NCrLHXuQh/muT+86
6rsV6HT+fnU4URM6H1Ig0GW4NClZ0fSdg2qvWXNI7jwM6j5t1Y6t8aosucKZnfk4WhdWbCAh7IQ0
vYVszba2ks2YBCuxYs3M3LP7pOUNgZkG5CIS40ahLje5XoOdfxxMgcAIIpFtQTN2Ityd2QHEK1fE
QQU0V92Ivknn850Jir7B7eOa6ROGrlC/cgrjXhHVblk5pF+dTre3ZjUpQHYl8D/XP+Tiys9+kXn5
IW1WciTS+EWO375kPv1Z2XxjZy/XrSx56Pm6Z8eNptWYDz721+4+yzqHah0GUIsnwA5CMiI5e0f/
/LrFxXU5eCmjJDalFzOLQa7iPDRRBFbK8XdRQcRNxtoYTcZkjSB8KZZgamrC1AA7iXTwcguh71YH
2WSqadhd6WePKrW866tZDPdoS03eA5FXSJ1f2gj9OKpHgk5AAS7+oMQw/cEkh7rdgbeNykfTCt26
WZnzWYpg2D6A4VH3RJI0s2kYErIKPcq/og9cm9ZeMg5HzfnWSuuVr/WxugECFhSyJ6gbrM0xXXYs
i3JUZorWnnZHYzO2gUutL6V5SrubtHy7vpuLCzuzNitv2LqrR61hLUS9y4HeOKlReajcbI0vZ/G8
455ErokSLU79LEwaY5lU6bSuQRAQNdc7JvVGAXlZV4YX2XTTDZ+B4vaGoj/5ib3zo2HFc5bWih+A
+hdgWZP3XDqO1lkOSSxcQyHeob7+0TjhRgN9T6Ra+YYf6zkI1Kifop0JAd0PuLzRiWWupga7qqoT
SuTh3tdOs6kH0MLKcUCTXYTm6/UvuXTKAQKkuIdgEVnt5eryVuZSEcB/AwuCW6VOKi8oOn/b5PTX
dUtLEWyC54GpYBLEnLPTGSmUCKShM/QXWftOhrEroXNMbchdVdz5lllD9SBU0AG4hfYknoPIS1c2
eDGtti1sMAGTyqSdfblaoVor6GMbxfDUdxnr0M59KaTbp1/F8KDih5w/WNZ+LOrd9bUv7rKFqg+E
YFE/mmPUqWM3POgsJEvGN4NDUgiv+DRYeZsslOApMglAh1H7tjG0OQs3VulrUwBL6tlm6JbDPsse
++jJ0qj97EPrQKo709yNinsd8gz6RZOVHGDpCztAF3D4EyBy83CH2SInBSpyAiY9tE63mxC39aNw
7lh07Hrl2na5cvcuRT1018AGxXF0sO7L7+nga9IqwYp759tI8TB51ACzVyCisvtNUK2Rvi4cUAQC
PPumgITu6CwUmEWWYzarmKDfTnFbDNyBSlwZglaZR2rLUGTa17VT+SurXEAG4OpH7wbINbDaAo91
ucwsMptEa9hNh13PHzrhtrLBfHGLhy80VU5SeI3z20EfDQ2KDRV/TcQ+jVcBI4p5VUwW4vhe2vfB
xmJ0NaiOtHnTqR+8eAqDn9dPyFKgP7PB5qimwRa+sErYqCR/Ms3G1VA26MmPSMR3QCQc0FP/WgfD
F9Q3XbOhxzxeox9dcKaLXzALDijjIDV28AsyKAJL8KVV1T3Ydm6tut8IoOwGFa3Fo+lEzh5RaJb9
EY/AQOAHgFORsLgZKc88Iw9Ga2+IrnxvxsCfJAC7+jlE+fapIIbQO1NA5tX1hR0EdzTg8cHOs5bt
moSTm0g63dqY0EJKBpZehqaoAH4bz+PLT271bdZnU4FBRGJvjM4uV2soqEUTOEsYQABdxgfpntbS
8WAPCMbg1ToWJqq+QGVc96qFu5ti0HoSmJxeDB/e+M1QyLEReC1ofTCLACp+d6UyXRn6K59yyRIq
fRMnHWLDB4CplUVJbAaI8CrqUO0NNpm8EdlTYP6LHeR4oK5gdGq5Xn4XJ3F4hTsA30WTW0p+kKI4
VD0ibSTWeFoWjyRHTxwNR9AJokpyacs0WM5DO57o9e797g31GJeEB5rEkFJ5MLI3q7ltxI1u30Jr
Bfy8dBTPLc/yyzY1SxWWyErIcLKLE02PJjU8we7t8I2Oh+tOspQVAGg/oYRsPHU+iC5FPAz0QLLM
yyW/45n5PLSvss23QZDt8qh2a9adCInvHMO5qaj/5br5pbUCxQsJBXsqF//5Cme1B9XUooGw3HRr
y0+DCF0zY1CLdiDARt7hrLd1sMZStbxiZCLWVHfHtNHsdBv9wEI/wIr7WLz2GPQ0BrrpaR17sRXc
WbTD5AoUV3PmCf+n5mtjB0uZCmSn8KxErxwInPmFwvyQ2m2N05JVd06OXP7odBWazAPw3wdHbh25
l/4uAQtdhDLgLl4jn1t6DVILSqwTWwcS3/loUCmVXzWQS/e66EjRiKoBDODG7xCxwTIOyXDk/gma
R3//pQHcBR3DH2DCHNIP5HFQhNMFgxn06C6uSw0Rnzo/SQ3q9Ubd25H/rY1lvdLEXwpNmI4BRwFG
F1C1n99rrEwTZdaZxwsGneLUtS0ku0D+EAx8XF/hQoIEJgi0VsHjCxz0fMzVz3lJ7Ayzca34AXGQ
PTjtNjXehbIujzZI8q9bW/qKeE8A2AJTKOH+6VKcHZ0m8cHzLvGkQOrz8kfC2oTQCYm31Cn2XfXY
SuK1jb8L0Ia8bnphTy8sz0KjkUHtppseM5X/2PmRV6eALSXBjtlrfKdLURimcHlNapdw11mOawwj
xl404kM9shuOXixu/rvQCDYsL7ex5q7Ow13mPI9WeDt21r4ia9XRxcXaJsITipU4tLNokY6qMMMU
ix2Nr4CQVUbl5vVzhS7z9U1diIQYDUGvASyADO3n2UobB01jnEmkubS5KZ12i1DtWQX9YaT1wdD9
MfHXxDYWIGmTFBQuVPSy8Hiav1l4btug/YXNWB0F+F7EDQ32ZXLA2zN1DuG40fZnYdylcmdGbxCL
cqGcK+yH5q9ZdJFX40EBEhXc3hzKppd3bcNkHxoDfkeE6kK85+zVFien9NGKv5XJmjjH4hf9z5qY
jRC0/VAoNNqx0xAmqMln1Bo2fc/dfC3kLQUEFDOwv6i4TRySl8vyE3PommbEo5/UHtAVaLY0zynN
b0MWP/eyfLruQYuHBcHHxCgY5ujQaLm0V5GeKLwVM4/KATC+HLIcu7ghLs9PIMIBk6+vnv30k3JA
cqderxtfyGdRqfrPtnlpGwLelJRomgO3GAArHt3RcA23Op2A2XsBsElgBlH7AJvpvH4Bqa88dHxQ
SSaGs3WAAhBkQBaojtdXsnQ/A+01YfkwyjphVi6XIhoMu/MazdyqlNleBSF3R66DJ+0EctOKPtmH
TXaKbAvGAaKpBh65YTAgMQzEG+jV62Ob6WElmf9zUc1XD9zoH3EXzPnNAQN6QNIQNfi4JSr5bULd
DkrWhfiJucxbTqZZdgRg/k0qy81FuedN6YFb/aD0Y+lYh1jUro/eaWSpW9+x9qFpAFK/1uFb3jrB
bPB3oELF5zMrbdVEwSDhBWkLMfnoponfI98FlARcxW8Rz49cvdOKuabVvZo62UVR6ZZkbdpjyVHg
HmDJxnMEye0slOKDUBWjLecphkEdxWl/ABgZyPSqXEnVly3h3eP8GVf8k2qe3cGo3xVJMz1hI24e
HBoeqjbZWom9v+6SSxELnVp03gUqwRhbv/TInjAjwqAqlH2ARcmrg4p/KowU8zWqgsUIMoGn8RwA
d9KHMmU6YIyrjjAcnRW+b25D6PzsBClrJBJG+9Y6g/2ZNpQedGjnd5Vd0TvHKuktT3OQ6lEZrEW0
KRTPnV5O5RcAWTEJOi/QQqTZZGKSqqhKt1V3fvazMX6b9dYGbbK5L9J9snbOlrb63OIstxnCvKzk
JJoZpV8K4iUm6sLDQ8fWGv1Ld8O5ndkjz9c+yaoGdgwz2RkFUGey94y+OkJqG0op4Ur4WMouzs3N
PKhjoepVh41M6vexBAtA/tKpZ2JsMj9zM7m77q9UTOH+w4dD0wB9/om5ap5ZjJGO7JThjkUJBOBM
XfZ9ua+Kyqm2ODLWTVmbBdsGAFXvBqhVfyJ5aT4aQg7sprZ1i15lTvudFTMIezQolAQ7Pg7Dkzlk
xPbYyFjyiOhT7PMu5fZB+XH/LaaYL/DEELBtOAYIg4ETxLdVIetuY2JotAQ/f5uF214Y5U1CMmOr
JrdlqemD4qch9KesSXUwqy4eNkRLQ23aMEptr+p9514YRQTYIHXyRxZw8lqYNHkXRIOOy6DOiCy/
IgHxuKI+RhGzOjo2umPIWwcJjjZM0eE3OM19a/tMuAkxgm+0VPkGVc/yhRWsyzdDU3TbJqrJV8wu
4KxzoixMBukgtHYiLMyboINssFvnXZ14uupEuK80gAEAMU6sEjTh01wWOcjCBLFnnTTm6Mq8B74j
6tMCoQlM9zddHEpwFwaR8zODIoc3NLb8HQc5PWom1R5VgmEjEwxj3QBUD66nGmR9bpFhk92gioZo
A8W+xgN+EMqDDeH6V5EPzckaZVaByzLyG5DKNqDTgDKL+K2lX3+jqv4/0s5jyW2kaddXhAh4swXB
JtsbSS2zQciM4L3H1Z8HOv83IqsRREizmNl0hJJVKJOV+ZrJ3iVBU3/vGiV/V+Ac5btGNdlea0vO
z9Rgel+swgoesNGQ410wpQXkCH2+0xE33vd1gpGCwrWfD4596HNfHeG5t9dZ28U38zDk1xS61Gu5
pQxejeUQuWoeYndbN6wwqQZGeWMYE93x3CjsvSr1UeAh4JgjR9f797JaSvVxyhUr8BJVlu6zjrXr
ToVafFLrCRCMD15Q39XTXFXegO1a8VyOcXhr1pOm76pyrqDvjFW12JQVjbEfkzC4isOheZCMWXmn
12M0A4LGlN1VtUJVnkqjz8t9NyhdcC+1tXY3Dmqz10iCv0F6rw4IbABQLVkZ2cYTY/V4X5ge9Nk4
UTWRcVzXLasnw9E4RmLNVw9hda8On5PoQUvcPD5qxc969ibtzrQ3CfArBwKvGmo80D4XHXfhXC36
1qmahMwApvAdPLEHI/iR4P6B5stBJdw09Fd0wW+rLHKbFBS8XmwcSitHIKpZYPlBlKHmLfYRckme
s9DsCkAaiqvuDsZdN+jsShn9hy0rvpXTnVSYfib/IxUXj7+0bPRsssgLiqRBkYGStY+6RAK10VFT
KrFWrSW3sAvicuOcXwsM6wkWIwQ2441IhyKlRqO0ErWtDsDvQ5mZ9FOPk//e16KN1bQ2n1RVUCdU
8e/glD9PSspp4LyuQE37jU4drdKLG0Ueu9RF5xYRJY6vzpsDJcnduTOHLXmblcyLTqYNEIbaDurs
QvRWm5poHoiu4wTdyB0XmX+dRlsemCvpAFKBsPR1ngSAGcQwlCLtMixJB5R2XxtHrCi4sd9bW0/F
tfQeqAT5KjNJBUBcnZM5lloZRPD9mKtPFX1ainETdKJdCyYdg1Qz4FeEcTKB5B5033QnLrkvft/1
lZsGQXKXB4p1Gza9cwwDM9z7fhnchtEg7RU97SlaNGbie0k70BdNTeTC1boPtyg6a0UpZguYv7pA
f8H/ni8Kp49yQ+6wtC5NqgXh7IZpvk/nL6GWu0r4BRKNmnqZrmws+7XVcBpW+ExJk2dqHRO2M4Z9
mb3XpumQblkCLr9dyGnQV9FNgFcLlEZMRttUa6ZeJjnuqVMHWviYBN2GisJWiGU5nr4nipqNHRAi
yxK+sB8+q23052+WpUdNUwj90qUCfR6jrmSrTxu8pGy5fMkb6Wvgp1e4C2zk7ktG+Wa2TsIIBYEu
SmuztQmDfXqZPhbQE8LoPnbc1Nlr/cfMPFzOOVdOPobFkGC1muj9Cksgq6geZkaD4P0UekXRPsaz
tW9H/UZtfc/Kpo3bZDUcQhcLuXXprgnh4tmszE4hf/eptipzujcqEyoEul5aeF9u2SWtnLU6Peh/
ownrAgrGKMUT0WrpcR4aV1V/NMl9a1yFdGjyrcNo7dNB1IBCyA5G6UlYIXqCBGc4LLYu5j+6tXes
wzj8TOP3zuB7Vfdj1Lda7GuTiRgEACcHJBwlqvMlqWsjdfMgqUDbwY0s/NKdU310uyTeTaE17Tqz
+3Z5tawcGFQHyGEhxy/5kPD5snAsnGLRaSgKoGKj+RgExkElO3Yvx1kbGemhxrsdHeQ3EkP2NFkR
ew1sbbPv51sERl0oNGFNcrjF+1wPRS+N0xdRCBFTq/moG8wpACqr/lTIMnC0DxO4vtI/Tlv12rUF
YkIi+79QIqzWjBLyKAWUOjQutX4YzMpTZ3NnsftS+2vWeO2W/Mpa6soH+x1SWCJRl6NkMxLSwmKv
Kj845G3ymO11KXkCheoWC8WWbtdidSEfUsfZDb66gTFaSQYW2BS6+g5JBy2l82VKq7Kv45kZTrFL
jZCvdqT6vpXkaxvI9OV1sxVqORBOLoJU6lVNWrSBqrE62pXhSSSu7ZhA29u4ctaOFiD5kC1wYuOL
CjtBGyentifgp3Gf7318CjxVKt5J47CPrWxvp9J+HIuNK2jtmjuNKRxnVhCbYR8TM8XZPq81KoTv
Ls/f2v620BzQqUOCrhA3gw+uT28mcIul4aO4mKJpD+DO3hDQXZ2731HEfZBDRevnAVzy3DkUK6TX
KHEeFviuZGF8FOiHPtgyQ1vbeicDE2v8RVsq5pwAuDbDj2b6ZPs/1fE6avZz+hRm78z+n8vzuLoO
T0Yo3OJxG6lytIQL/Xt7RLBsP9evm2L9q+vhJIp2vtojg26itsxjbdG5GGIK6kmobezetfPxdOaW
H3GypQr6PsrgEATGtauOR6X7UevPRvTdNPZ/MWmLdh1gOZtzXxhOF3etpRRMWk9TIJZbT4uO+CY5
/uvlOKvL7ySOMKK4cTqa0YxIW5Zbl3y3S3k3KPFVkjqfDV+/KZPkb06Lk5DCaWHlgxHPMyGzlsKo
74XhSzOhn0kL0fge9ltN7tXlB1UZqh1ADbpa599sCho7Va3lcAokN+0fSpBoffRsJFstg9XFARRi
ofQhXiZuq9nvJ1XOCNSkH43sXkqv4CvvcmdfUU/6i692EkrYUjklOWvUCDVJd3KiumrW7dP0JqA2
kiR3xlZfeXVvnYQTFqMWaaHs1MsUytVVEvq3wbDlJ/7WkwKlCQoO/86esBCzyMkivVtmb/qSmy8T
luLh6NrTTYu8/3wFXQ9xw7Q8tvERa7idGX0YnBezfZqQbGuk95fndzVVOP01whoFL4pIvM6vwRmr
q2/p5rkWiNG+CdzSvHVIwVT5qmpuw3y/qYXxq+MjPnuAgOAbiB4G/EUhT5FMTKLsZkL7wFY/J8iY
q9XwIHXkJkpymJzCnfPaG+svuZNCvva3XAvX41OUQfeDPAVg+/mO6emJDpEE06NTzGtN63EwS928
+yCbvatnGnqT0H4z/6tu1p90eeN0WOv/gZGF4k8ffxGtE0ZfaF0PipTR98PHITc9X629yV6k0KtX
31GvKfPuyzFhaYz7wEg+Ub3d+2Z7V2eb1iRrR8fpTxG2GYBaTGZaJiJ3ILmHe9n5h5eZXAXHjeW2
jEn84qeBhBlv7Uxe6Fikahbpb/Kq2ZgHlG5TvDf7Di/HQ0X1JaZtEG71kNaqLYvZyUJQhZ2BUuX5
xwZWkPSVw3QHWuFqJZCRH5r8nCn7GCOIJH4Mp4fsLzCYZzGXS+nkGp11dlZXEbOikF/t1WjSUs+M
swHgSDR+hlIxvFye4bVr7nSUS0p0EjGcozLrFSIiXBlLt0mJIEPhhuNOk+/jdKtSvZwObz/n/+YU
ssR5NF+pplgt+ZxWXtxERXMsgbRbzj+Xx7R23/we01ssw1wDXl7GNI3drvArshEM8qJ3mcMw562m
5uqRiA0bRDYKWLYjAmxSVTGLDjuknRFiwDPvZPnZ0FO3tN7b5jcwu2kxuZH+qfAfu3xjf6zvw39D
i2ibZpSMxJ4I3Vbj1aBeZV3nZRiERX8hqbCYSv3CMnH6vOluWPUIYUolUla8hv5VPe3U4F6VB1fR
btLYs+bdvGmPvLr5T2IKu8Ga5zRXCmKalA4S6yqVqQ9T64+vJOPWRJ7U35uSFylfLy+fNVLE2ViF
PRH1ttSlCnHzrN/VznXdPhgmhzt2j3cgOmWp9ajqhcVVp7q+ubVHVr8pgHIwTYvpkybcsAqdQJCH
4OPTov7QDfFzNAy7IXxNpS1tqdXdeBJp+SUne78d+xR1ayIVfuqVYehp0IRLKd9fns+1AVE/ZvVo
wE9RsT0PUyj9CHAHrmIqQX+w4hhiX8A5muv6l0TpNp6/q9FAbuIFwX+62IazqzpTJBmqkKRC9Pc1
EKLhLpOqZ/Qhd5cHtjZ/cAf/DSWsT61UU4R+CBVKUJITraX5DN3bK03jcDnSrwKreHCehhLm0DLy
sO8zQhX5baN+UZ0ns3zoqruw/J7gpzp/kZVXxT+q/ccieUGGytkydF07U09+wC+vspO1QhPWbGgp
k/oUP7LsRrbvFotJW33Koq3u09qVdBpKyHP6ytcbB4T8rpmtn0n4muSRW5i9V0osHBCpvZ5uTO/q
h6RQCTwS7Ncb9XUpNqWk6X0+ZG5cgy7+0JWhV/V/weQAafs7jJA1aXZID00nDFnkbVvoVzMhotE4
gu3bMARbmUN41WghmgCh4UUKc4hF6/99LssZmn3q6443yBlOGIH1FFNV84x6hMrWN/VGPrHyIkLM
DZqgTYeWouIy1afrBI38MMvCYmcUkfSidZm1y1B+2vhgy3IXtgNNQzqxiy8eolLCdpgrzS8yjYcx
8iFm58kRaiEoCn2xqXCkGAIp9QbfWl0bF8r8VO6xrcT2VBhXVfRUDKsF9garQIMCnXY9Yrl403UG
qgTGEV+IfaTqbmJI1xq6g5YV7I02OrRz7NbBQOVq8Hxz2M+m9V4uFNe2UyqpCRpMiVfmzi5RE+/y
obFyEhoYpnEILoIyVEzOP8U0YkE1loAa86bBz5NsJHbT+EfWPl+Os7bWDKiv/AfX5Y1NodXnElUs
+vFjezBwnfTD6wAEIsI5enu02Mf/LZxw6hZKPcvWvIQLPhRO6CrOQ9w/hv6HfOjdTXn/tWcA0tbA
ArG7BTsuEmyzsorGRjahMQ9eis+c07pxoniNCtTXbYzrubgvtmiZa19uke8G1MGR9KaLGKidMYbp
ANmh9lot3eXpP/n0fpC3eHIrh/ovmfD/xREOJAR/6S4obCPDPvYIAJmuIemuMu/SchP9uLzUxC3L
ybqYaGgqLwBxNQZjXesRsSzladSfpBEptt5FIK9re6TlryDcF+UVskso2h7srVLr6me0QK0tRNel
jblMxcm5lJlWbGbT+GuRtvL3pPpiGVdqj7wl1lHoGnSHdNzYF2tHxmlIYaGGrT/mjclXNJt6N8/O
u0yTNk7b1Q94MirhHAxNbRqMnhBSFd5VBmKNqJH2dXRvJOnHflN7cq0Awhb/dxZ/iQSezKJqpk1p
t8yiVQ0/6vDRwq0kDYNHamA3pda9kwL7yqFQ2eqfmr+COZ1FFy41p3DaqXQYbdhcJ9W+ikeQjC9S
98MPXu3wrijfKfa+1t6X+kZOufYiOIssbJRIUtV8somMV4Un1Wj4tOGdYcaPtVl8aMr0ahpeIL4d
pKD3kvjdpL0q/ZZ63ubkC7WQRDOnYiiZ/KT6kfrPIBq91tll8WP/y5Ihn3mLfWy2vH5XzyI0jLE4
ARiviFftNAXymOtEDRUvb99ZzZM/XMX5xkJeu0MQuP1fFFEFdAE3FpJBFEPnTu+4Xa9m5agaX9TG
rYf3l2+QleyBooAMPRhKJgY4wq6JrCmH9M9R5NgQb5KDWb5OjvSulnMX+hUeHqqbGuFGh2QjqPhU
12Ec/X+me194Rf/B8G9jHpShQb30zgoi18w3rv/lQBUO3AWOB60ByQ8yQWG3oDDnBADwyJGU5xKR
KbW+nvqtFvzK6jgLImwMIzMzv9UIMo9PLa/01EGigRzM2Lj0twYjrP1IshUQBUsc+1tYD9TCfdf+
cxMmAIwA/JY36i825fkdkVc4aOJmwSJMd3r6Sj/OnveTgdBoufVxVucN4hLXO8WUN4IWjgqqupAJ
VfqPc/9PNbyzgndG++evAAb0O8pyQ50c13NCRymViCJZFEpTt7L3pr+vus+BVtHC31hwa3csYs4K
tH6TO0IW9xWd7qBRl3BW9lgH3watwqf61TSerfmoDPuhQ4ZgY12sXIAUaC0Lcjx4Giom5yMEdGzr
6ZIMpkaLjStqNta+AOxs31V6tDG+tR1scQoCsCUlA0p4Hgv/1kL17QV3igFxkVw7yoew+GSPo2u0
32dtX3MCXz6o1lYJywPZKhIm4DvCQTVVZhrEAxENAItS6+8kHY2G2fdUKEr/KZT4vqfnkBhVsoSS
hl0yJkdJ/ahBy58Le6uPsT4qnlAOHvX0BIVUrAlUvxwDo9hNbZ3+yGGLf7NLRfoEUrt811iqj89y
kQa3gPDTu3SerTtzUjFqUBQnvE46qyhce8SBHpHyTOkwgQ6r3pO1rN/I31buJOANquIsUF/aTcLs
l8Y4NtAjwDTTjqW4ajZPRtG7KdQwrQgRfPt8+ROsreXFewsmLDm/7ghnaWB2ZV82xAvbyk0KVF8+
j6TjpvxkR39BWQExBX8EjxtUR8XmhqTXRactY5urWvk4quG0V63yvkaw1gOc9oChQnRk8BuYjrVn
tIVuxqLMwVPxzX4NUw16aAyy2KhN/9XO5ekFKIfybo5GVdlpfdp+HkwtOap6ZvysjM75Cnu13zd9
p8XuSM/nWs8b4xM7Pphcs83sFztOjOQgFfoweGbVh+G+7s3koxFKyNebWuOho6P8DGaNeoeiBMrW
w2blZsL/hXox/UhqEqKfWR+E2NVPWEmjFvtQBMVdmmuAYaw/P+hQGwF8Sd8PjSAR9A5p0UZnOimp
hbspHA9ZfUft20m+acPGsl855jhNOb+tRbBCfUMzzPOw0KOFD1e5EFrLCXe25qYeKaKOh6wIr/ke
lxf+WmZLSChx0O3hsYuAIluq67LCyxHS6U85OXDSukoXuWm268fkKnE+F8VroL3G+YaowBpH+zSw
iDEayy6RW43AOtqSFZD6RvJi58nwv6pp71YDhJsbpzogFxs52Bg/1danKPg8Fw/NFrdgrbt79lOE
22VsMcbpTH6KJNU7A5mtQaG/nXmG/DW2mp1WH9XsLpg9iOIBgiVgY/O/0JtELhszTSD/oLpESrWl
+bCvNADSPkIZsfEYhqYrFxun3FqWwC3KloHGukhtCseqarVq5psL0psi2XCVql/97GAvC7m+iqeb
Gv8h09qUlV46i0I2vEhA4kUJjQxc6rKNT1Ihv+SnDMmCmC4+q/q96qSeYT6X6rOqjl443jT6HuDA
5XW9coGcxVwuwpOYuoXcuW6D25Tg3MwpjP/p69IpMNIUChkQfkA3lyOurqLTYQp36zgNwWjpS8h6
LxdXhX7I5sOClFCsY6m0blReO8E91eC2wkfkuXReL/+A9SEvIgusIJ7MwsflgVGmfQoVUpbvy8Jr
2he7pXs+70GM5BzZl6OtvcuZ4X/DiY+qJKqS0lf4qrEc7jT1WDgPU3/dVTspwxkYQp9vvpbykYZz
Zv4Ya30r/vqq+h1f2LQFugsQ1xluMF9jK6RHH0s4dvJuij6E2nHElTmIN2Ku3TenQxayhCHiblCX
GVbV57D/R54f9O7n5WlduwFOQwhJddn36TzKzGoIO78ARSUrVwYgCCc74qNVL1924wZYSX2wJIYc
DQkIJUcRISYNijPMGqD42bmBuyj3tuvU3yL/YG1+s7VQ1FZRKAJkrL1xIHPqTPenYCh3o/SlyD1j
BkuV7DXYcuO8BXxbyXShry9q1vB2UOAQlofeGjZa0yO0iYy+fH7He3wfx9/76nj5g62dqSiNUz/h
bONxIiYhSi+bPrIF3GOdgQFybulQxfRUR62+abFAmxqZG2V05PzOlGw4u1ncDalXBWO20ShZnd6T
X7IcECdnHnq7utxrMkbl4fjczN+L6FMLMmBK6I3OW5fm6vw6KIihw6Yjai/Mr21oQY1sA8igGYsV
35J0Dx3qT4VjfZJSAEOXZ3klGmkRyh9Q8pAFEqWt5AghG7uIKyQhs4922fZHNbJr+NBl8tz7U319
OdzKRgcJb0EB5DA13jg/hUEf2ZUDb0OOZ9vtqgQ0l6Ji1tjqW+qTayOjWYfHvIEMAtah5x8twn3V
wVio2ilaeQjrfJ/3/fUYWce2azZSrqXkINzDQBogG/BqxydPbKd0w0DTsSGUHbfHzBoPobUlzbc2
cVBCaHyy8ZQ3Si1+KMmVqeFTG7c8kzE2+YG3FVYqs/XP5S+0tu1QjMD3lAMF6oKYylQU3cqyHiqw
LyCf5e4WQMXe6f3rUrYOcls/JGqFv2Z5pfj2j43Yy9oWJ9JCapbEH5Nj6i7n34yuTReH1lztVH/a
t/68L9oUwbH+yqzq+8EMuecbN5MQOsuMQz6F8UY1ZGWjLx+R4hVwUFT8hJu+7vIWar1c7crBhBcy
TkgHDP0DbZ5wr8dS5spWp+wvD3rty57EFK97ZDJYlL1ScTFhr2R9kXkM5SlC0ZfDrG2HReVWXdQ6
YBcJZ1gGhU+yfHVhTDkHeRi/V4pxNOb6aGrK1eVQa08fnGq4jGzOLzIZcevVTqrPBuW4YlB3OXBK
vde9AHQn1H4vkYG2dpWX9a8JWUXfB4f/GF4Yqj2CFgsqwjfdaO1RpIbQEQ1XQ6mDLYmkacdh/jgG
0uRWcfDNMuI7366/bfyIlSwKXqGGrSToCCrzwjEOmXEGpmBUOzgfTyYO1NRWxivHr74qk3oT+9qh
A7zdhU7gcnxsJOlrHxsiwSKAAoYPdu35PsrterJrx6p2vIvuh2Z8QS/1RQrkT9XsfL480LXlexLq
13FycjdOU2mDZbEJ1ZZwqqc8e4x7M9yZtb5Vi107Zm3anAAAmFe0z85HpU6trYHv5/KgIMqT7vOg
G98vj+ZXIUA8gRzwEBaQ1cXWV/hsGcqG85So5eKpVumeXN3O048uOaap5ubNp7A1b83gw1Re++O7
SvkRO+WuSu+l8iqbj1Z+0CfAmPsyOOCvNWgbl+fbr4qxN086SiY26uOiDGQzGoFe9DC+Fdhz+HN1
WbCb1O+x83J5Elbj4EmJC/wiOinaroxOr/X0BNH0wZPdoCkRDzSvUNPbtBlYjcSQ4JL9cgAWzvtQ
Kmt/iHD6g7eOjeELKj2T/zhmXy8P6O3CgSr0q8K9AA8QADpfOM6Ii6btU2dqh9TEFBoDMd/3t6js
a4NhJ1BM/yVqK+arTScZTR3ywujLMb0lLZXui1qF4wvOMZiGZqMP8nbjLVVcWmyQRJfqqrBSFR/9
ktmn5FBbPvlTdzA6a2cWW0pSa3OHivai+6nBSxVpy+imaEma8/gerWPm/1DTT5e/zXIYn284hgGx
nLHA1iG7Pf82WJ/2k5lBVM4MJBpdP0MIIrxF1syN9Wu9++dytPXR/I62/P3ktFIUP9LShGjRYOxn
GfHW1PIuh1jO1jcDQt7CUXSDvoq4SytHm4K54H0kd9qDlNp7pfjsjC+W+qrOHfIlHU/AaktH7XLQ
Nxh0LbUr02h5AA7SsemuQuMwITM0ZofIBIxC2bHcYgmtLL/FIpe7DcVo6u3LLzqZSXsMY6cfNWpP
TYXdwpU0y16y6Tq1EgWwF/QQU19YC46wyP1xKKagI+1NjcwzixEyr0RdIt6pU/xxis33ffFqSKmX
+M8wXL7jcX8LWaR2NK9Ch+vyh1XUt1/27Mcsfz8ZcjNQFfeXHNxxniW84soWzePIS7gC3db+mHfF
bQ+Ew5mlfTrcj+O0cYytTAYPQurJXH4wBUWmjjoivRwXY4VsoP2ed1uAsH7f7JIm3crg3ubBqk6v
kzYuwtnIcwvTXpRKFNGWq3fFhDlej2uqW87yU2UF3w2ze0yqxNpAEqxsTCCWKAcAcaZ/I7YCjBZT
TbVuaxbwfAdy7bbNq/3l77cyfegTANaGZ8W+FB82Q2REdqyqqBwW78vpJc0P05/jSha5RXYFkkUo
s4p7fzbspPITo94hRuCNCJggsIs0cvDn/rLEoQu+YNzQnBRnK+rSPhhS4lSoiaNm7mvHKrq2pavL
M7Zyoy3PQJPrZZESFLsmdc6DFJpjvQukOzN/UavjjFXiFt9j7buws/FFlEm6UMw931YOCnpjZek1
e7uD4Gcfu9a5igb9jysdzBlLeQHLQQ+1hIsmCfSMjiBzls3YazxbfuXC47Wpkf3FpJ3EEa6YKUOX
uwiJ42faVbi4EFjmByTCcreYNuoOK6f+2ZCWmT05kKLE0GK7I9SErICJVe1gOF5RoZit9K+1+T2t
MbneEjhaqU+fT+Syak6iSm2uzX1N1BnUD2p7jvrPpCBYxkFUuJZ+jWIej+S2VUHSXyNUdnl6Vw4K
gAOYwAHyXNprwtFUO02dx7lf00+Jd+B0QEj/+QeEiGnRj+TOUd4YHmfUNcxxaVjlGKNMwOKsz3H6
Lpo38oS1gZDywIfRbB7LojZEryZdWeRRs4uqFiLQbiCNuzxVKxuLxO13BOEdjD/EjBggEUrn2mhS
V2oAu/3NKDhSOYoWh1NZWAyVVmoDSqnNLu0xG6bNpWzZaq7cRZzXvyMIx4M0dvJYlUQYnKco3Us5
qniglX031zYaTWuRYL5QoET+HQTd8sVOFrY2jixrRDZ3U3Zbt9SfSCJ+FJHX+sfLH2YrkPBh2i4L
o7ogkMMKGxTsNHnO0lcCpbDV/lwh2cCyVi1KEPpy9xlCLBr4iBIPVYPf3oCR26eqeDAl1Aq/G5OH
xnM7fNf173PzwGtdM2oXCHhnb6zDtZV+8hPMpVRyMq9VVnfyNPETZnDmvfmsFxv1+ZV7Cs0Eevsm
qcOChj4PIMlFnmAW3exaRXUH0pbad1WldmHjX/5wKwfuaSCxtW5LU9MlNiORJyDfqNnf6tHN8jrm
ZWzoV1q4UY7YiqeeD6woJKUPTOJ18TEvvVonBbvKjJ0iuWX209paLGsHxsk8ilekbYCXMlrmccbi
QYZ0/i1ony7P4FaI5e8na6FptUbHdp1PhRr3+JopD+kW8mJ9NSyAbqpbCm+w8xBDFSdRHjGKBWtQ
3XXBPtQO45YZ0eqi1umDQdQBSiWaKdCBsqS5YyBjLIOczlxnqxG7EgGtMDQsyIpBrojotSSp/bRS
p2pnkoC7gHQ8pMSbjaxo2f7Ca5XWGmRb9Hy49MQ3hW4lcxs7eoWNXe1J5qFOPtFWmHFFLLvHcAsh
ujYkqko8Kmy6C29wRVWqm3MdUsEzU3l+Z7bVhyl06j8vjFCG+R1EOPGgXuRYUlH8HKLaxT3hpjV1
LgzzeHklr8zcArlQlo7M0ioRDp0q9pU4x2Z6B9EtvKp6C7ANjoRunhePVe3YL75eVe+jtDI2Aq8c
ChTl8L/hccYLzRC2UNuHfmcDudhF8nVg7zvnqTYPSnxfJV+aFkWQ58vjXLmszsIJN7weMHxLX2h2
k7nv5H0ilfu4qsn2PHxDNpbjygLBtQMymgn8lcKCMLZAd8ouc3pyy+q6z5JdCqrk8nBWToezCMJw
rDQ1cCkbGU4JgCRPdk38omf3RTN6lwOtzdvpUJa/n5x04YAAKvbnJKryczMUbh5gMF/dKgWKzLD5
LgfbGpWw5ksTo95CHupdN0vVYxYm476TquC5nJ1nOW/VjbGtnOJssKWLhOHZcgKej23CbK6cDML1
znOeXdfRD6ffWAlr07cI7um0ixEhEMGcfZWM2aTO9a7B39Zwh+44JGCN3vV/ztKAoXESSBiLr/qA
OhMC2fERe5hYfrJ6T++8KXwJ+41EZW15/45Fxnw+b3bXxwARidWO76Lhxv6LEgcNJ2SkuPUWdp+Q
L0xBOI5mp3E0BDW9yo8xHHhZ2ijVrLT34JjgsMMWpVbzRiptaMNqJmVnCwWeP3ppk3mB6Tbyq9p+
atO9Pd6Bwpqdn5eX+NqaO4kq5l4ZGmZqs4zNLn6UqfFRrdW93eSf/lsU4Xk5FKlTZgNjI408JFAk
srS40ewtPcS1ywM68dJoos1Et/18IfhOjriQzmAs+WeRHofsZS4St6/deWAiv10e069cRLjkgb3+
jiaceWqo41UWEY32sPnFjsfk2nRmXaHm7s/g8DUNEfK5fmqVwNgZeVPcWUA3rwEANHtZSqMdduXN
dRhnpjfUrb1vk/LH5Z+4+nGBTf4qJy9ONOfzoUWp3g6OyS/MnobkIYVOLL/8RQjkjfD3MCgyiSF6
Ow3sJGMSjBlj4j6Bf9+Ubub7G+nHr7xMnO1Fxg3zT/IDqnPnY4kKLZ8yc+IOS9R9337seB90oerF
sXM1VN9Vy3GrvtuNJdAUub9vtUl3h2q+arrPs/2UhvW1pOg3FB8eDdn3SmfLBXbtEDr9fdr57xtC
S638GN5tkXxs9ftsC7i1trZP//0l/snFV+ixnug6h5zKIaRl13Pbe1Z4E8dPfg/cbqMGtrZyTqMJ
OwlDBilWwTFA0foy1Utx4NXYAoCu3a6nMYT9Y3b2PFQlM4bKW5y813jpJZ46bSzQFeSNSiMUePoi
P0kDWvgwAUr7Y5YylFl9HQILXuZ1Dby1sK7R3jCbG52aaLX1IFsb22lQ4Ws1jlbZvsFqHfoPafLe
SHkt3f8Fb4+hkbIuOtKk/SKoLbK6PkO0nyhlso+qDJ5b/zrnf26EeR5GuP/szPblpOJDYSU1F54z
YQIzz+hsTS6OlK6ubdzn65/sZFzCJ4M12wzyr5UxtbhDgnQBTcKr4C7TYm9YrEdSZL8LoNJOtaUX
sbbyT+dU+HJqCLJdk5lTX36Ous9Jd6jHm8tn5loSdhpC2FySahWznCjkE2P60tuqO+Fe31j1+xq+
BJ2BjQLc2skE9Hnp9iHw8QZHV82SETU+4cxU+meKh285FiWXR7Q6aRrvNQQ2YP+K2IYh8HtcVrjf
o8r+GKGmpxTmvR0aG2HWiuRQ937HEVaiAomvqlPihFn0oak+RJ1zbU4pEgvTTps+jrN0UPvuXRMN
+2BYDAKjnT2lHy4Pdu2lePojhNWpW5kSDfJy5U3aY+eHOFs1+zjV7yQzuKFJsjfwsygIfzns1hwL
C7NPVAPFb8ImteZS8XFLBRiWeX05ytbghLWpRUULwpModbqzGcb4QcOnXQNA8jVNbn3awJfjrR6U
J19UuATkwkyq0Fri6fvQ94A45c5HqF5/EQXKFUtzkZoRLZjzNJTxTOfVmGt38ngwAm/o7jVlI8td
TeHhl4KzpK1H1VTIt6LAgpO4DCYqXmtddaOb+qdlepb6iNCBlXpj/3XacpFdPUxOYi55w0leELSN
Zk0lMfFpSuKfo9G5w/TRiR/aTZ3DtRQEt2dQxnAOwWIIw0Pa26IczO4z7Ps6v+/C+1p/bMtXbX4G
ifjnX+w0ljCsTpXmqSuIpaehG5r70vd0HLmkYWO9b41p2Q8n04fIUlSYmFLtwi7dF6ONydKPyFSR
LWjh2Ws7spT9fxqZiEzFLKWr6mCZxfKxCP6x+g8Ruj+OvDGBa+ti6fuDA0NWn8v0fGDY7cqDZNFP
NCx0PtMHc7iZUWD121u1PFwe0drJdBpK+Fajno5FZxIKhyi/+Cpb10bwz38LIXymvABlyuuZTEdB
DSZ6ksrv1fjnYN4FlPHvlIlvYafRk8xXljUXdfo+llGIVRr8ASJal4+K48u7y4NaXXsADaicQeal
gnH+icy2tEGyLc+zUX2d4bruZnP06mG6ldMcIob2EY7nRsy18xZ1DtJFWnFLhf08pqOHSlAPNHqz
Ah265URv8XbwUv3d5bGtxwG+r9H7A4smjC1Ae0mHIFHvnHy4xqw9xsfTkYJdOW0svuUfEt+FgDfJ
gCHqLOiw8wGBaIibZmYSq/5rUwIQ1KBcH8ZkjyCSlu+VLbPe1X11Ek+4sLIyDwZ1JJ46H4vB1VQv
aD9byn1e/jHamO6EguDDYl1r4TdzPjA1k5S0jeJmVygkh/uhvfcxBVOv//Q7EQXdAJXUkOqwiEnK
9MRQpznF9zyGhHYHCrcePWnrqfd20sA9UdJfzO0p64s2H6ruxPDvdfrZtYedMcZfWYkq5lO5xaN8
exSdBxK+zmAHIYgYjf6R9h2p8ow3cvPt8oythQAmrVOhpb75hreo2EDtpd5uWNL/j7Qva5ITZ6L9
RUSIHV4pausu9+5u2y/EtBc2IQQICfj19+B777hKTRQx/uZhXtpRiaRUZiqXc06d+cuT3+s1/J4V
Efp07RD2pbAmiLDGY+EebbIH0+71VczR4uW1mQ9i7qJHMgUd2fOJnfk9bjQjEWaAVFkOmg6B0nxa
r6RsllZxLkJzC6ldkGFCxzyazwCexdMDoFm2Tc/+82sKK7EJQWIIABjmh1ZXmwpRC1i0Wrn/lFmF
4BjDQp/QLPSklAh2zLVWNOCjyYFEx0bTMwqJDkbpLvfOGYEpDuRJxAxoNKDp3RR6eykx3XXMMjsS
bVStVYs+WtMLibaW4U4awIn3cvawmG6vm+3Q5N/AwHiaPLk24PXRKUEUUAABt4HEIZL0l4uz+qDM
k9kpAbzltkzFk1chqWc03sugkqeeyLj2xs/XlXFhuP5SqKYqHWmAxUrgLfx0epAc8AxV8D0opk3o
fxt9H7SV+W5sA4pmL+PRq7s7EKjsif+Z0CQOHXnDXH/Hy3Tl1bCowGdboZ1zgzaiJKnwVaaYdknf
3g1oBa6zZmX1izsO24hUsg2vrI/UOUHe98GAe1IN3zzhRA6IHMC/CTCPaTh0vhFd3+wlW4xHypwe
x4T7B8hrQQCKWARYFa2+CpvtArN5rKZfTNq3mHxfCTcW13YmzLrUpib0Uh9FXGRTOpDYsPJQdkcS
gjTlthNHM1jDKlk8sTNx9qW4Nm1zt22xlVOSREqCO8clmyFfq9WsrUp7iveGRwyZ4I4MIowM+58s
jw3yj1m8yeDWN35cP6/Fu3+2pnnNZ5ZagqA+zJEdwtyIFQ25FTfiRzqwI0W+73+TpDnPzmBtTuZQ
ymO/6hKlTisquxcW/PeGGNx2WBY0p2ISBqxclyvCcKTjF2aIkM12IuRu78RAo6wrD9eXs+jizsRo
p4TBTkRVHI6Bi5LESZ2bB2Ae2NvrUpZ14c9itONhuUO6oMdivO6Ewb2d7X+R6sjF3jM2TfD1urBl
XQBgPZqGwNhMtOjdHdgUJgb0G/jKG6NHdON1kd34Ucb+OywwDgnYVcFccJljw8tDarzBtBMPu2fl
QKX1nuzmzR8MgDw9lczcmHxF95asEt77mGzEzA3a6vRttCdU9TJEu6x1o7K9a0HVUfPHUX5p1yAa
lzYRHdE2RvgwVvSBxZ05/RgUDCFvnWJYU7apdW9ZRb5n3H0AiJZ4uX5mS2o4FyQBYgXcf/SvX27k
3DbjVCKdcVmKbWWld2M67K6LWNg89DNhMWghBtWWfla1m7bBVKAlNTQec/mpsIHhwWMP2YsgX1H3
hRzXPGOORwNmR1Cr1t9bbQ1PVnMcVFYAf3X6HnIjBv9ixPNxlyOL4dtALCZqRA5semLuWoMYHo/Y
Ly1yxeglxrMwtQEkYb3oUdRBNbplidZLC8V+tyiyr346lltTKDKBda4sX1hiqC2x0/po5Hb1XdSB
t5HAgX6WPMheEoEgIh1RhS2ZIXZBkbt4+gTGSdmtvOuFqTBi4NbQCG6XzXeM8HdfSjrYG7cz+Rf0
9AfZZjC5AeybengnhuE+dU3g37U0TIBIWWUHtBcOP/Peq+y7IXGAcezPcRqdiPfLG0TdxTbNrCOf
BmOr0okeJ5L5FRA6S0A9OmVWnFyOnFSEupVLIlcKa4zHYfR8dB04TEWlV4fWHrjoDia7psrJtoXJ
QezaEb9Dm63K1JaCZ2brJ4n8Jfsh7KLML7J8ExZ9aG8SkKQcR9MebgvTqE4drdRLUE78tTOaz5jf
foAoeRhq5qNRm0yTjIQfAhsys6qZa8qyd7lU9Fvvi2AzmZw+9Uh2H9IuNDHGYAE3kg1I/6OhIG/5
1vFKJdH6S7y941J76xWkOJqUWVtq4lXrgXLyBpfGAI5A2x2NVjY3rpTBcUQbhkTeasi2Qhq9+F4m
vZneAMGPok+z4gGo67283jZO69s3KhssTCBgyyPcBIDf9YxgoIe2IClBJZg/O21eIHgt4ahBqv5a
8RaYOkYY7gaZoEWg8b0+CpyOfBvGAohCPYg4vNgJU3QGmkVS7DADjsnNhsv0uZ86ETxTOvTjRmK8
5o0pUR24A/zsjTdV5Q5oTOMP4qdorGkx9L+tjFJ+BuVQaMUmS7x6PzUOZFqtm72BNrEJbpy0CV8Q
eVeHETAKVhJVTWJ/moAiFkZAE8PwBjN7cRos7rMblHIcB2w+FtmyhmR1VIcoNUY2A0d8VLPQxwhr
zjkuoqrlrmfMec2rtExAqcXYjVERcuBJ2R4GjKpvgnbiMO+UO3g2lZbPojJNXlxpm7EErsun3hbD
DqVt66bLWHNIDBGebEVzC7LTEmQeRKQHQVXxBDjm6YiudaS9pyE3t3UCRHNnmNKo5aEEEpXrqjTm
1JdHUMmDHWDIBzNuJtv8ZecS2DedzBFJSWtIIi8dkpNtGPSZ+LX6GU59vh3DqXwcVS0O6MY2fwKz
jatoKILptmRFElepaz82nWls8gqoEpGNNe/cRpZoIzXS9hsArHMr8iuefrWKAvlQnvNAPSSMVTfo
CDWQIyWCPjqqC5+F1aQPFfoNvqqxG/0dKe1wPykrYYfJN7pTZlIfvt7N020lSu9RcgriaxUY1DwJ
QvmTi2mOW8vwil+1izgxUlOIVLLjdGobpKwPI68MpHoWitFNUTTixpv8MXarqtiWmBga12z2gscD
GRQQGGbANJAmawGXCv3KDboKtgH3IjYmQFsP1Wb0wxgNHaAOKj67zU8HnKVRBuvZR+XN+5jWMas/
uWR4v+6rFub98Eo/+xgtLOsI4V1azu6XpoAweKlYFRf+t2Gw46lPf9XN9yZ1T1mCyFMAhapbe+Au
erDzD9BCDQpy9oANc8pLFTcF6+O+YTHrLLScOqA0Mg+OI7YezeIKJQHA9bytbMDs8HUHhvUjWzFj
GANR8TIgMIymQLcKHJjXvpeZE2ddtrNZ962nbzVIVqJW1lvh1WlMeRaFfFiJRxaVAUkLH9EvnoB6
Lg6tZyDk8tFijUbhezfp33FVbiS7Yah6rKx0Tkt8WOmZqPlTzp4utQHWA9GjZ9zgTZyHW1I02xoD
OeCMHeWrl++H7Ka3VsL+hYAck7PzQxoIPGB+0La3JNRJkBJGJAk/6E7qFYR5h2kiwIli/oa35ZOx
NkK6FH9hvAUAKxjlBiSeFuJlqWFMtIfIvMs3CrTMqZUBnO+Y0I1YY1dZCCdNcEchA2niAWPr6PSS
ZZ3D7RHxl/1dpCry12aPlvTjXMC8v2eHBjNoNXUAAb1ocswoOtUdU8kXCsp7PAxpE19Xkvm26Tpi
Y94OAJK/s9zacaGzAy4czWMbJp9b9ZoVb6m3kiFc3LI/IvRJmWw0Rm4oiBjsIfaGLu7a/f+0CD3G
Z8nkKM+ChL59D+Sh9z//RZ0DnBIzSQdqAih16OgvNro4xrI08YzIMzT6gFKkbrrIMM0vzOInmYnH
KQPLdKPWqmJL98me0cfAJYgJLn3At7Qp5r+J1W1kZwJI4J1UW8RsRjZtO/oykJU22CXtw7xbCNow
AJRBwy+1D5R2fWfPrqo0X5p6S6d3w78d1izTkhSQ3phA58J9RbrhUkqf4a1JbJxXwe47DHomQ9TY
cOn/vbvBRtvwHznaXXJ5KFReEqwGONCk9g/dRE81AkfKyEq5aEnJwRQfIPqZb5JeTByMFpSwGY4J
7v9Eg+kEvJXDf9dyIDXCb8wvdbxlL3dtlMSB60YVx+j9FCNnzI+bIU82zELx6C9EzaqOVDTQdnQj
rsK2pNQP5yChi/LhhrGfIK+6LmNxxzCwPvPwYYTdnf9+ZuhGk/ZNWBhYzvBQEjdKrJU+tiXT5p0J
0PYrzdJcijHpNikqyZipipxGRXSNomAByBOXBaOiaDPG/1C+vlyHl+dNVpfePM5GmkPHSiRtXDGO
sZEVxjGrlTgVU4OEKLfdytykgVM8Tw3pPtcKTCpJZQ6H2p7YJ94CNX8l9Fza4/Nv0y6AmIIWCINQ
mZZJdK4Ox9pQu+vHuNAtOK8fTEszeBEq+JoHaUiR2yoA8G05OXgg2s9m81VZ2aEEJR9nKD1VPzkn
j9LNVkLZ5cX9K1inOEE7dNDlIzY+Kcyd8rMdM9foxuZv173j2dp0oG8x1ZnJPRezg4y8Cm4d0qTb
T3624b6TRmWTAnrZe+i48/X6pi6p7rlc7cVA7RbMagRLq4yHhr43xo3PP18XsWSD0bk6s9OCthXs
XJdqCwqFIfATHBuGoHw8Mt17D40j5Mt1KYtndCZFU8AegBtlPUKKyn8E/Niv9b4s/j68Mkzv3F/5
+7FxZkQmj8FS1rjj0no11KkkK9q9eBAeUEFRNcdok54rb9HC4w8WSsF9C5Y7Y4jG5lFOZCX7uizF
9wFCC7eL18flWSiVwT4orGLsnmq1bcaHtlxx7IsikC6E60CwB+zuSxGpGQgpFKxtM/4OX+7QLA8I
rO5vtOpMjHbewVThd32spCmOrlNiEuHgeK+kWqltLyrvmRhtw0JKkM2oUvTOjIeKn0r/2Bug89lc
V975Yz/c/j9SHK3sq8KcTTSFFMvfTMWJtN+AqxSax2DYmmsAyYsrQlsf/gOjDVppLs8HkJTeYHe5
2BTmKZ8wsFKUx6L9gbnElXbkxQQAmPj+vyR9VS4SRQGMNlY1bnq+C7xbl7+Z41vGjiWrESYdRfFY
gbk5XSsPLu7nmeQ5tXx2WSVSDalgJcY5M3QLPFXiZPevQ39XFaeh+e8NeHBLgN+aYT/RgKffXIoB
T4+hZxINrfct6JLJQ6siA1zcaz528WbNceyMR4B0wvz3s1UhqCiqIsHJ5UAq7xwzUuG7zI7XVXHR
zp0JmdXnTEjptaIPCxya4SaROTwhZ3RdwHz/dV2fy01AkiFzM5z2hi65rICPjbOZ8HYWY7aZUvqp
HsJNyrs989uVN+GSup+L01QhFTaa7zjE9UUSUSfd9e1vvMG1zuO1ZWmHQ4JWgNkScsLgnyq7wQjW
SJGUPfTF7vr+LWnB+YK0Awp75SohIMhFhRhIaHW2t9QaovgC7oUNUKF5EHzOO3/scO6qHpjQs3ll
29QAuwq9Telb6xyBadgXtyR7MpwIKG25cyqsl5JtkmwlqF7a0PMv0Aw8STBppQS+QFT3dHxGZjNC
jh3JoCgs8r9wi6gz4GJhJBM5Fy0K8klZTcEA+5uP95bxo6l29lo6Z+nYzkXM9+7sXhltJy1jFjHW
5iMrQNDrJTsBKL3r2rGY9DyXo+lhCQIc3jPIEeE+pP/0xhaDnmn9y3YxKsfibNxU4f2wxsu9YHCh
JrYFcjGAbH6giZjAK4qAAFLNtolM8132ABoGFKH5PCSoEPYrd2DhUl+I0y61rHNKUdNCjiRtHxrG
YkcUO4lGUERQKxu6YA8vRGmqMSEkC5Q3hzOy2raivEk7b3v9zNZWo6lGKw3fHgVEyOp+Mt9G8zmY
ntlfxGVYCPC8A9B44Kg0v98oJ/TqCW5qUM8oDrj5kYmVY1l6oZ3L0NvXTPBRMcHhocaAxugCjsO0
ioBQ/1X4dWSlzVYABwq8PoBbGx+vb+LS6/hCtuZXRpB2hK6CbOJ8KfhWlTeUH+r8dWq2XfY5dQ/C
fh6bo+KxQx5tb8WCLFirC+maRpZ25jjNgN2tUmeTkR8tWGjLLI2SmrzWfA2jZU2arpQhzWg5x3BA
rzDtn44E7TaTEaluUWle2df5yzV/jec2gph5rNJB6/Cl4bILbskgwcrcsblzG+NEkOJSIn1oigzp
ruRrzVAIF+aTKpP7wMlBnfDl+icsmM6LL9A8QV0FRmiWWG0xoGISBMpE4a01ASHUrA2eLW7s2WK1
SwJ0n6onDIvtc/c2M9Idd9wbO5RRaVHMov34m4UhKQ4PC+B7PXIk6ZRRBlDvjdscgXg41Sim7q+L
WF7QHxGabaE5qNONASJM1KsHP+LlhBTDqZT7ony9LmrRB8ztGpjZnhHZNaUkKIfnrQtRIz2AjpHY
t2Cnc6xtzp6416zct+XrDuA3tMLMNH86tCmUoFEWoTBnoCju0AFYe3PdfoqKUX6ibhe56B61vHTr
5emGmlZUg0y7d7+jsWYlYl7c4rMv0a5+lplDN8k5wkRbpwKRDsNAHYaK2lhlKwZ2TZR2msRSofAy
LNrwQWvooT1LlHHb9lEhfwIxZW2PF8p6FqgE/t1jLZbgBZDJXQ5xo/E2gJa0x0T1DGOcAhfoJfQe
MLQQ5WsgHIveMABoE1jVkWfR+46MyfL6uoXQpC+jEXmKwOOPGCEw6zXU30W7ciZp/pKzkMx1G8y4
OZCUIv+VY05BGhHxV94fy0KA8wLq7gBdTJpFyYNOlC6pxEYJhCcB3xVdsMvIGsHF8q79K0b3vGU3
GFPpQ8yAGXsjZskDAIZUuJLbWZOi+dgAg6nZQBl2rDy44y8RPhQsTsP/znGJSHLGxvm/e/a7M+zs
YAJ0v4wmhmI2cD3iSLr8uyFZ88bK4qcp7Wx73W6tLUqzWxUVQVgm2Lqk/OWN2zB/AVgATXfXpcxX
84MbDVHwmkf40ROg3SXX74IwG/Gupmlmbx3upbEz5n8VSp5Jmdd6tnP5EGZoUoEtykGZhCfc3gLN
VQJuOLQrXV/PorUPHbzi50o4BksuJdW0ym1ztnqeD4ohC6UiILb+I6Aa4b2BPun/TZoWAkxOnyHT
BI0YWnFrJ7KLGt4BVVma6OuzCXgflZdHVRjWKzZwUTnOlqld37500N0xZyva8ZlXGBFEUw+b9tSy
N9dXOP+Qrh9ANAI/Azwn5jG0/XR82QuW42qxAH1RApS1dR6NlrEtkQEkUxdXQbhRNj1cF7t0jADh
wzQ/uiwBhqwpf5M7KQAKoPxiuAurTdY+p+Yxrd4zPkZtscZYufhAOBenObAaWFqSSIjzM0ChuXc+
K6KaHBL7wVWf83xX9RtW/oXunMvUbp7kwL2kFDJTARpi58haGg3uHUID4j8Gax0CSw9wa4bi92fg
QQ9G7PJiDAPG0gO3RiIo/4yhBFvsOwP5zjQq7NMMaA2gwyGI/XStfP+be/ajBv0RrN991SSewSFY
JmxOIRfBPzX/3OBdaYBnMGhwP2zjOIoy6j2OrtI2rt1+Lyt7DxbjKAz7XcKLmDB75xlr6NHzoq99
m6bdoulSZhvQ7gm5USt5Yt6XYli5QUvBEVomQCCF9gnUeTUZbQv62HaEDCPDaNYYMiPqMiVRv6b9
Fg1xdyCgVSvwOebi/TkTqhkmWfkTGVKOEMmvPxeD2vtZH3P07uZ5vcOE4kY66J5uvnKS3xbuL7uc
PjnmZ0qMyAZOGgOKrGNPpzZh++v3elkNzz5MM1zES/tBArtuYw+ApTXerP4g5Z6O3x03jxhgM/gn
H+1g/fG63MWDBo/XjB8KFja94YIVeASjSRn7MbCD64uDFaQoVa9V45YNCeqJsFlou/iQsUOnaIXO
O1xq2Y4b8NxtMPO+FZggczGpA9TKFyerY+mjk3TKVrZ2yZPPpcz/L1qzYY5C/iucbVjvyZu8aY6g
/lhR5eVd/CNCsyFMzejWJQ4vRFcuOCphQsqII+P/N4f1R4x2YzhDXxlFxmaTl0PchcWWet1WAb75
uphF13a2YdodQZGu97vZtQX50Z12Qf0UwviXp6IHceShX5uhXNs8XfMFUE3qEedDzbhTnzzv5A0/
rq9oRQX0RrOiSFTI5wDVqF8G+341jFv8fUBDupigRjOWjlEKkF+Ei9O8BHYv2ucmPFz//kWrBe4b
oARhPAZAhJc+CoQxtU873FJBypMqvcg2i2eXv3gOP7QevZXD2jD1/IsfHMCZRE0HmsojTWhBojce
PdC8o9vAOLj1D8BUXF/a4umfCdJOX4UkRR8ABGXBfd+5YL9EW9EaRM/iatBRi9GiuVavu5pSTUYB
VmSYAAUHU9HhSEaAVGXkCwHgsJjIynktRaFmgJ4f0JGhR0AfmnL6Oknqqp0Xdeict8CMvRDFgxXb
vagVgDlE8AmWFHTlXWqFUSdgRvGwdalH41aoqKANvCcmI9IDy9rIqFfeEIvb+Eeg3leTiZrnlYLA
pt4H1l3bbkX9kwQv5hrY0Zog7d2aGgFoTZt5ZQZoK0QMYLOyfLfMTTitVK2Wbq7tAzob/H0zeMT8
97MHWNrRsPEDiVYhCwO+cmuFa/X7JQko3KPnecabxv29lMABKBmGDPMqKIFsJo7Bgr9omkQLCr4f
I05gw/W0QNLpTHsyE0gIS7lJFbra4gyRrKFW3M+iE0dbCxDnARESfBhnK4QskkYBxCE0X32KxPFP
zz/J8qW0Xgs3zsobuZbSmlVYM0MuggXgNuHRCgeuKULSdlU2NCCyH7zPNYBKqnvu7PHICoIM2a37
YM1QLFgjPPVRPwU8OKjn9CylZQHxzTMB90yaSu6HEMjFaFqX8Et0rS68oBeAKbCR6sXLA/3D8x04
0zya81xiRBVznCHZBXz8Z3LIinIvruZMhGbEWS5h+VyIMLsmAodwLNS9XMN5WbB1AZCMwCACY4cR
Ye2IvKYv7JxDyGTjbZhiPBnLKXcoNFx3FEvaB0F4KQAnG3kM3cmmZmV3GDiboYZuBvBioGIjnb2d
RMATYei9oZ949nxd5tIZIeEIdcdYPpqetbUBKYMXpeyByhxUO5bwI/XbFZu6FPhjWX9kWJd6MLkZ
mvdLyCg5kAbAPWtjopzN43G7VsQTBrSmOBO7LP3viU50FAHBJkRXEfyHbpdCxvMwUC3w+e6S5Gc+
PNdrJOSLqoHOMrRa41J9SFaQAfyYI8q8G8FfmtCMUvu7TwuY2dfrx7Sk5+Ce+1eOZsQzlmNES0BO
zTelDTL1O1OsRPhLzVFo4bY85AnQzYuu5MtjMvycDuAghPZV9eNUJPyQAPOjnWwQOxAnPYAFb9q3
hLNTbWZHULJ9DRUAENmUVk/XV/s7o64ZRXwKgFMxQ4PCjZ4DMh1mJ2Y5AI6cDimNutDvXlWdpQ8+
Hfj30WGYuSwU90HS4LllLDsW3GVl5m3sHlONYOgq2AE/Xu9Z6WPAv4FzOg1Bp3wwyXlpHeXT9JDO
1MO5wYc9gAebE89S8dkFhmWLPmmuSERSN39gg+P+AMxw+CZGC4lfEAi/5qEyeZwBqesxT0oTCtxG
A7jcgFFqFfd1P78gEj4G4KqQ+a4ux/qXyowxjTDoQLYpsLEeTNYgkGnM3rqxgMDxF80j2D6Aks08
nCGYdi5PEghCdUoCaAuq7ydqtntisFOSpn9hfFG6B3wTSDLx2Zp9d4e08ngxzQB2/j0HPMuIKnDk
gu3xujos2UXwQiFxhTpoAPgbbT1TYyrpV/MtC0FZEPYUSaLRa+LGl81zm3ZjNKW1tbGoqSIPEOJb
C/0mL9c/YiFgC5Emn/mz4T1RTrzc0ywZOAWqENAia8TX9nPBywj4z1J9HtJxxWIuWJULWZrBdJJM
OuMIWUZ4E7Z7NxOfwGxJfWMlvF6Ug5QIQh3E1x8YRwuJOzil2Nc8s4LH0UKN0DUALBV6gECYPJd9
vr6HC84GMGnIh0HTcZV0Mgg2lDmmlLGuEES3ykYbpFp72S8YygsR85LPYg4pANY3AiZ4o8CaVoAJ
OzTHWMg1gvhlMUgqIY6C79RDgjQPzHqcVd9p39sKE8XJc2H8vL5bC5CzM6rcHyGaGlRp5nbFrAaN
/ztRgRmhofzCyNE0P9t07wIdhUtU8e56NFat6cbC0wvCEZUCLwVdaPpg4ZQZlJW/sau9DiRwB9VV
gNC/K70bL4s7jNpfX+xCGBwCx51gIhIE49jVy3OrJEh8x3ZWea6OSeHszWH4hjLAbZ3Kk+OwDZmc
o2ur1+tif0M2aJ4GcufGXIT8mOPQ5CpDzDhh0BcG0JSg/gxnBCzOajeF06ELzMgeMeJf5O+p+4s0
4jkYrSizijeY3rhyAR2DzhPWfivB7u506sABmEctuZLSXVI2JPARes6AeRhVvNwbij5f0rjYG0vk
twpF9boebgb/7fpWLJ3AuRTt5uRTwHrMXONydlzdOQAmBfppUNpdRLx8OhLWlU8lCfepn1QbPqiH
6+KXbANYQh3MzQKoBEb+cpE8SQ0MEuFGFUO3F1Z9Z7t/8VjAXNcfEVoQRWVR2d58aV2SP0pSPRWZ
2sz9X9dXsnRcuDfzXCliF1dHynHGrpz8nuFN0obooJl2Fp+OYTWuiPGXbuhM4ox3HMYWbX3HGj+R
reXUoIjJzKaOaIirA5AMV8WkKlt3JzPX2wWyGZ6Dnss7TmkZU6DH4R8Z+MgoJ7kYI59knRUVgwCU
D2CK65i4rTFu2qwoH0DEa38ChESHYUhAt/JOpYD9IGQ4JdKfbpwiqQB8bRVp1IRJ8yaSEEhbmVmJ
SHgiP6munR5DR/GXrginG4lCeSwFn4IorzwgfNRgqkojm/Oi2CC0RjstIHDkd9ulqdzWVl0fDGaG
cTpkyUOgrAYe3vLVDlSsDAi2jtzbzRAWkdUFLbJB2UMrARhNzCY5Giw5lrVhHX3D3Zp8sneM++Nu
UjxEjTsc74E0PO0d13BOboOXSZTRvgZnHyvRiDegdx6AaI59GKdueh1bz6wi5Rf8wZ6QXI8ADCKS
aASOzxaznPJloIO575uq/GqkuQmgg9xDwdIAtfCKjVyMgwLwUJtwOeC71R9rVmh0jPp4RKE1zj+B
dZrf9eDvODpI/7yiLp4AT4P1Q8yNIbgzg75ggKkY/zvnjY2S8J+v0NwSRf6RKxdfocLpNJQ+UJn6
/fUrtGSLAg/AoJgtBGW9zlGuEE53jmxhlQMT3HUZnt08hTXiO4PW7zWpMfcWHLm3ltVcCvIC4LSC
89dC57BeKwpD4EXaHZIjzDxZ+aY2UvSIMmQdD5ys5ZqWgq9zWVrqouqLofIltpH7DWBfelrtAO72
ImjTPnWh8RfMBji2s7Vpni7HPTf6GvKyiQ5RTgV6JkfjFOT5zzKjn0Y/4zEQPNiWMKClNL5qf10/
1CW7iB8Acgz6Cl2khS4tfD0CRIYKfIDZSDyG7LDeJqN6T4xurRl1yTICzwtZNSSN50neS0nO0NQF
AkG4Mid5Y1TKTdigAVfYKHS7YI0gaAlvXeCeXF/gkvaci9VOtKh5ndhzaq1p/TnTmvuxUyJGYEjg
rBFGz75Kj1vOZWmnydq2cwsDmwl8vogyHCg/XF/N8nH9u4k6WyFGco2ugJxNHtx5AHRX6rYt36/L
WLoDZ6vQAbWCnoRTIrBjKfuVt0aEdwiaL9J70ciV0a81SZrRAqoBQLXn/RKY/atHuXHUsx1sx24l
jFnRAZ1hG1bfHocKKwradOtPuzos42mKG/UMaKkVf7C2pllHzt46DH1VUpQ4IVLlUR8OUcaBrLlt
upX396IcAJ+h2xqzpo7+FOjTUNjWbBVtkcU1i1v3E3eCyDdXNG5ZDnLgSLHiGaBrQyNHABLxOQGF
RLjsf7WAqnLc7ZD8+gutm4vl/0+OpgttjYEU28e+mRbdhV5zIm7yWtDgBg5tDfJnbU1aWJtWzdhR
H7ljN0zePSR/ohStIF1Lg0jV/tP/tjBNIUYMUDWdwsIMaF2VRq1Xbrn1kmRrvmvJP4Mv8N8d1E25
NZa0dyCoHFjk98MWOKsRCV8ne9x0eflQtRwg8s1KPndN6rzXZ/qOZ0jmYjYc9rW4UZTE3DuBGjYa
TaCrVIgjd5modtd3dPE6ny1U8yQkUz4BVRre+dKK8bqLcrN/LlmDKNnYiHpt5n5NWzQPkvetxAAc
xFF3jOzk6EkAi4FfZo0icVEO4N3BSYUO4A90GmqsmTmOyMh7YX2bJehRwSiRgYyWx9YIQBd38EyU
tqTKK0MJHMG5QoNo7h9vOKC1A7QDbNN6f9GMHiITiSonAN8BV6M5xd4KFK8YDJVrg/N6rP/xM3rT
WBbwtOAeW2dYMVhLlY1zgXqPs+sD7U8SeBU8rI+EOzde3t12KTmy/gtIFe8914vMDGpaEVwTeryu
nIseGs9gE3y/ZogSx+V9aAZag1AYp0gNHheNDUTG98RNVqKaRV05k6IdYF1ZdS8KSCEz1nAvjyQr
dn2JB6dbr1zwxQcO2j+AZ4VHLXJOml0JkHlo0wqyDLG1JI1LK0fwHVtA72udKEjjIbUj5y+mmEMk
y/GEBm7lnMm+3Eer95qKKtSJmjHZDZ7ikQmyL88QK3mcRfv1R45OvzJmhkoqYy7ilCFoxL4hUa1Y
H8lgXyRy47bf3dDZXleR+XA+hIlnIrWs9RBYzDVsiKQ4sDCLEf3KatM13wqTIa+zcn5r0jTHOgV8
hr3FRjpzS+Vzajx54afMec4wseuswCCsbabmWJXHPIcRyPJks52MeGQ7MSG0fwXaSwN4x3J1AnlN
ouZdS27MHWWQaI7FTrgyLsJ0qyYzTnGzk6H6TPPh3uvXmDTnn712hNqdMDGOJYMaYlPwYlUNReXJ
XQkkl3pGQ8R2AAXE+DvqK9pmWsyHdcmRBc2NUyZf2+aL6G7tNDatQ1EjpwAe3d000SgpHgOSRR6Q
zd1bvz/aHJSx+ea6zi6atbOP0fa5zatOjhQLlt5T1Y9bXt4iR70iZHFXz4Rou0ptVbiqwYrL8sZu
B+CO/AWYHYqXFuaFHHTrf+C+83FUVEhkGw1soSl/dE4SERYBNGfl9Bb360zQbMDPwqLSsdEl3UAQ
+paiGoOXqf1qeiu266MQB+idBAloC8lysMNcCmkxrwZQrNmQOGpjyHxf9w4eN+Z/PpZLMZoFQQ06
tUsbZx9YltyygCTbMRc0vq5hH13apRRN3Q00AAERBosJJiuuiteW5lGTvCv329/IAf723HuMOo4m
Jxi4W1APsY8jQOgeOIc29HlkK7EHZN8av/ZH84RFAesDnSPAZwS/wuUJWTOO8uAgf99DDbLx2cYE
rh9nAEUAEjZe8ri1K4r38Q5dStQOq8psr0wpgT/zpju8cSIRpo/Xd3BR7X6D8XmgvXFDTbelP9Q+
mNBxiWz6zphy3jD+kuyTMlwDvPkYp4KaykE/49y7jVKQFkxRbkyDOTqoP5T1DSC8pECbBTLjzVfU
dq4v6qObhCiQRgUusKc8y9IM3ESaru8HF9bWvGnbN9N7MYsjeJJHG9ZoZQMXQqpLYZqhy4mV1sYE
YRaNTeeT7QI8I49IsJMtpiue22Q7rdFHLW7l2fq0QxsVSNHz3EMYTuX/4ey7ltxWkm2/CBHw5rUK
hqDrJtlO/YJQO3jv8fV3FXecs0mQp3FnpG5Kmq1Rls3MSrMWkdqQTEDbhv/ReatFyNB7aymp6G4x
kAhR1TlfEcocvC7nNGxbTgZOIoOB0HxXAsKlM9tqk77+vnV3PH5WR/mvvNmZz0JNLiIN8rL4uZFJ
wu/T4h0vDGrkO24kw2DrLa2NBYV1724jeovCPXinyFTODudQDFwQJwDXg4fhRYCWN0D+YwmBQeJi
JfLPuuz+Ps979w7QZYBLBgYJ6t7YgC5sClg/pngsIbBBk3b1ruUvg/f1u4g76W2Zv5AxDzCWiliI
TcWxHHp1mrLJbNu/YPF+l1nkYhQehULeFAr47vXeKdEbFU+vqDNcMDh3qp6uRzFTm1ESBhgGZtr3
BS2Uj9LLDumQ24KX0RDceL0Pd3nLcaFTdS3wxZOFIpp7l+VyFWYHKs4FJUVjEPNjDassCjLJr5Ow
VaJHbViITd47RZeiZuYoR8Cw1GpMlUd8uioq4mum1H5JtQ2HLq5XWvffKJ9LiTNNlytSpNUTJMbj
U1Q6QP7285RwYIhouuda862ApxX/n8fGr7d0pvKGCkZvYlIH7TlHxE1esutLCzlTcHoqKHXN6F3q
bAoIYElBDtqROgu3nZRbkuS9ZKjenDLl+PuVuafsLpdzpga42isKlPRCDUgdUYaTHDdEa4AsHXxH
kRv+5y9/to54h2sCioVRJnStBKamjGr0heHlkf70TYcHP8kMMxWef5/VfV3zr5jZIUFGuhM0dgOa
KVp59biTG9nixXLBg73n9F3OZnYqAAPh87UEMXx9zHpmlFhWmGqRuvp9Pv+HSvl3QrPjIZXeGAGX
G6ViCMgPSWMp4as6maLmSD26wmz2TFToFJhI8i64FnftE7DA0ZqBEjXGM3O9Z/pQC/kk+wCdTJT+
O43lwVHjKXKR/9aRZUy97sgVcv06dXJpdlWbr2Vkc60qSjn792W4q9iQdAZoFyCwwNx7PRIuKOJY
jzESjv8GZ1Rf2QW3yREI45f8qSVJswPECrSiIIUk3fBprllZ8ZTzb34ZWHkRL9iLu1f/YlazU+Qj
CCC3RYBYZmKjDwo95qU8onioIKkSouX8VQhffl/Hux4c6g7/dyFnxwnWmdMmFcdJ0RxQMnKtxYMs
IFKpV5ldezBGvNHbpXPEduc66oC7fyF0pmqM0gvbRsOaSsVBQzUgr2yS+jWZBKsWfDurGjQnIOxy
QJlrZazjpQrIpS1lmvDC/5AStQ21Csucgt45iJ4YSAyeMbJsaeFCZvDc/vzbVGe+jjcoXRjXmKpW
tWbYT5AJYVP0XMYqrYw/qQSCjKLfNErslKL6RwM3Ag9g7W7ot3z3w6FwHrrTTfhPQwgocjCONHBO
FHrHsoo2TZ3TxFjiTj1HQm8HzfAK4ZyB92d2DktpBH5tA94lRdjC4NEeLDJysJqiPa45uE11FDd3
wxGUxWr/1BtrlX/V2iUogrv2CDx+/zOI2SERyqmrsFFAt+dUsMr073ichqCDGc2WL4GBWptDq2gL
R/OuubgQOtuuUEzjPAkgNK6IVGLmyEkWSzxxgC2/ewH+d27z53QLmnu9UyDGHwQUGVWAQra9OBBA
3VUNz2BhFY5C0Gc91fqgWddtGNQkSsP2WxYiWSaxNxofPMhnN8CuN3Z8k+oN8TNDHg/T4DV/8i4u
t0JXe+hn05T6CEyh1h7BQhbYYh8bZm7g0dSEA9eSpiiMlgTAyQXpi56Uaz9SmhVqR6RNrpUIKpWc
cBgAonrKqzZErAnUWSsvKPTXtO69dVz5qD3Pe681x7ZAwE7qp32mGYkTcYPh1FkNKiMOhHu93mbb
NKo1E7GxyhzR3fcMMqJ+7akGaKdAzYAAoKFnuwTVQQ8gSNf+AvZP36XtVLSk1nQRvfp5p6m2p8jZ
WgqG2FY8jTczlHuCPhAt/H1RS3/CJm4f81oIU9NAozrSaFNmTk0aPHFRp5IkSPXHJulGjUhyBdQ+
dZqEFQirlQwFkKP6yWMBN0Hps/ZdreVRSWwUoF4ujWBY6QayZihb04B3ythtWsOoXvSpG59AM1A+
6sMQPNTox1zrXSy4JRpxrKTv+J+wFLtDnlf8H1BeGS6oLvAvenqV2sWolSOdRqFxK8TS134MsDZA
QfqSieC6/gzwiGYXlKNaAPuSz7488PTYIHpqPeqjuGIl6GmRwuYllbxuo1FQiRg0RmbH+ohG0Mrz
FODReXE7EESzxZHokSgcx6H2D7InBqzhI/H2NRi3HvEGBMerWurpu1b5Xk3yyC9CLHzF6cDj1owV
L2fyI+/FzRpctNzOUBuGWMPrkQUggvFHrVWZ5hP45Z3fTdRdowhCT1kFSjS6NWamfkxwroHaAdLg
JpdJM5Y7VZ50y2v7v2mkf8ZVu9UyjFrJR/d3yff9HQORlHNFGmAsrg1FWEogVhpS9B4Kte1JdUxz
3QAXbynbldT5aBzloJORDyd8ArwJTsAjPc+zhUccM8E32vhiFHMT3VS5ziNuTRFT3gPdzJE5d0qd
MurN3+d7VytdCJpp3A6AvxyC48DkLtuWZG3ckSLytgrP/WlDnXTTEjniXe8DZdkSK9rSdYQWrxeY
S2IDGEsRQE/7jSScUXwq7SRAOTU+3EazG3aRZv3ns2R8EozoD9/zXgsZvTZtMkImX30wKrheeVXB
zai3r8pSJvz+/BDlAFe8DuCg+SPHD8AjhnIMcBLxT/4AbIqNkuygdk0dpVuabIegDxKEhQnes2GA
Z0YtMmgThBsK7M4I/aJrMnBMTBlRgF4bNKFV4Onz+zreFYPKWaBL8BA0L0by2zEtOw+eTT6tqhjc
X9xObH5+l8Gc6/nRVy5kzJxvvCskQxIhw9eK0hYq9ICXIHJbWLB7F+xSCpvphT/ojaPUlgKkdH0F
xMASDLsx7UWzGvwFB//+gZDw4EXKC6H7eRtcqGZFxHEQpfSVNfUK6aFE9XKiZZ27StmoJEMMI6h0
E2RIS9ftvCX/LieybzoSBUDMQdgNbfUizwDwLiYKDPkcrMxpSu3olO4KsqerzWFj/hjmaqmI56yW
/5WliwKgvyAEFfdwSsG3PfOkBo3L+zKEqSzMntYWmMTNweQIR1DmYuU0MMFwTVV846VIG2ugvSlQ
j0SEJwXlzJ54lmYqZruwAzc0m+dxiQpSPOj4F24yGVzi8z2nGz0pLTauzuxMlH7TGuOayL/j0mhI
4WHS0e7Nf0YVmxn1TY9qpk6LBc17A2aE9zSPXil0NANG6bZmRuhhiBH5GYg+umFCBN+sDAIdpZ5q
W9h7Ky7dqKTFCj0H5PS1tCji/AbMxc9eRB0fdTnIPgbCBQScQeJB12jmvj/kFH6lBLBVErqeXaw+
O5qQjODkjOQHgAl0KVECaLjZlQcANyvOFuG+IOCK1/X1GS3Tqe6kMlKJaZob09yZmx1+Z7Mv2ya2
6xKCX3a2beN3xCVOQ1zHIUcHH//zAw/m7IMciYP/7OLXI/4e/q7F/js+KPui+GGyD0qJSQ8Hc4Wv
zQqyTPaBb4ov9lfYX2V/ML82L4eXzdemMAv8abPB19eG/V8wzs3Cibh5IjDCW55HsRFOgyQKxnxL
lCDjhyTViUJy8v7P4ZQeGlMjoxWS0Ols1KybKf3u7ZLqkuWdpnXi9JuetOSlMHny86VT39bMcc0t
jE24OS64OYziBDR/PADh1JnCTMShSnMuCejmLSUx8dlSf75Six4WikNvYE9xR4GTIOM4qOjyhqzr
0xAAsMFTMrwQRKcysemOs63NhGA/fjc0Zxj+K3U1EzSzNL0kDvEYeoD4JelZZQHOFKdbtST8ScIk
2XeKn5u3N3NnWLsHm7gDm7jz+CmTrUxKU7EKS7E+ySPcVIL0DXl1rBNdHb6+NksEXDeGhL3LATEu
oZoJlM9YouuFaQc0hIs1IlDFZyRTtLDhbdatx7f+Y/iTLFj6m13A8cNZNFDFgU3HRsz2G/AzQjdx
eUDf7A/b/X78tPYnf1E13xaKsAIesHwhBQUuZu0m3cYVUhtMaUhfFIK9JmSL1SXUWi2cqnNi93Kz
2XzgH4HzCzTLDML3evFET0xyEc8bCvWys992//ywoVV2UC7s6x9FwZQF0xgO0x8u/nf2ff5hWcTK
yHZLoTYOq5/DytwcoBy+Xla/n8sbw4Chgg5dZZxFrJGWn5nRtGwU2ctb0C/SmkLphWeNRVdLLZLn
hNhsTQAthp5QgCQhMDG313yfp3E6YvGZNoOuxaQtsnDL7u0w8OoERP/ALASfYPbCqCQjTcsQ9Isx
2WxeNubu3XZecX1erYUtFtjL4WY6F5Jm6pPPfMEzAkja7HbYNuim/2Jj0GwswLMHSTKI0K/PUJgb
eVSHExNgmm87+5s4OA50taBrb9EKcAAu5cwmInRpHsQ55Oze3z+enp58uClPUDzMWZnwe/wJoq2t
RVenn4Kefk49YT9/RjKSgP2ykHc7F7rOlxa1BSiY0KGQxTniY4XeRJB1Cjgp7Lq4DzDJsJEwlKsV
DOXvy3wbPz1P/19hzBRduKy9BiuolEwYzD8M/xFWHlNdMQP9u6gbE8CuGnC8dWC+n43N7DHKIywy
NgaYTpnXwbwNl117dv+ZC3B2B5Zk3l/LC5ni9fR8Ix7aumwgEzXmBB/AvcPnC2YbwwP9dl6dx+3j
dmstbOJtiHc22ZlhbctODPgYgqEBc2LbT84ful9SKnfv++WSzhSt5gtiUYVseuZOIwa056ODk/q8
dExus2Kz6cwslBomlYCOUwh6M23Xwctm4XTcvGfOp0OFi44CDRTxzLv3pCjPuHj8Z6c2GnkDBbll
2jD+hfV5VpV0xe7AQtHr/et/IXZ2/WPJS9NJgFh2PmLy1tK3F4AWwhyMtDHZ+wUeoX0ksJTM62jg
dRDnFYiv5zdVQvCgxE+s/4JhOoOV3WiBi4HNDJMOFuIJmA7/3BYcInN3/sDFYZeHWVSYSnZZ2Qc+
8WOLX8+X6ex8Y7VwjRfuMLsvv4xqXgXNlV7Z8lejYiPDgP6x3mwUbCzsEWCdLenSCCR2pOcjAMgA
SrAAeQE/ZrYueW4kilyhv5MJPr9T2FOFvUJeMfs9XTM1aR7sJafmHLe6EoyeUgU4GwbetqillGaa
sokyLgp0CQYpJw8+8UlKU9qRb/xuIgM+feZNWRgDwVCc7SM9ukfHtSwM6efn8AWPy7Whe/DI2eAt
dHh52RxWLfnx8Rb/WvRfb2KNIvwAwO8AhBbuPcqPrhVfyalK1HJ8DBYxMr15PzWRVtNH8uG7uRsd
C1I58dNo9h9LjBe3BgXdEgYIwlF2gD56BACvBXMJmuUHdKky6/UAe/r0xEwK1uA0EnhVq6V9uXWs
4FPB1YQ4gJMAmmQm0AvkBh2jIkdUZ/oMV4lrT6tvyeHWxUtIP0C1QVWCNAYFRtWS386U+NWRYO4c
jDS8LQApwkm5nmuvBiqndhpEP4vOW2fGL4nb947gxG7m1KtyQSfcvAvFmbzZESwzpeXFAvI6WzgJ
b92bSI8x9WpTfNz2W3GrmbyjLVz5/0MoiuPRZsEiKLOgViW3XNT7EJokVPPN9/AwbbvVZw0Ck59s
Aw1oI8/yXC45mPM38D9z/VfszFsIPSMEDRTEGiIdj4f0h6dAnKYhv+n/vI5m6j6jmmWxlp5pj5sd
xaYicAXADnQfX+9oy+POTGyyk0HKtfIpOqOj78qfxnx6jBIyPgRYYwSPSPTMb1Trd+168+g8z/lC
+sxbKY16KmWgbpNRIRMKIF5gcABP5VmcI74u4Q6fO4xu54r0AN66IuLYs9ObpyGqTYBLRKJt+VO+
iFBnyUZ1BWc45m/DGlBatAT9IFlSEXcFw7HFxcEDAtHnmeA69rq24CA4TS3UQ1hooymdbKMcE9Jv
R1u3jUO/GpzIWox+sbM6n/Kl5JlW5DTPEz2ZbS/mRsR1YcuPDSH+tvZNlejkuV5lzkFylcelvT33
2V6JBswHKLYVcDoi6ATAreuT1YFcCLjoKWI6AwKc/sp4kAh6h0zPBvahHW5iq9mkB5n6CNUC1/zl
sXcAKg/tlZH0sX7AGdh4lrzfT05Gc1ckvvmcLLy5RDb9+RjPtxzvVJS935RRT3WdSHkLHkVTfRmI
ZoGh1JL27wV8IFT/Oc02XHc0dQMS7ZVDcjTc1IQacLin3FLchctw42qAQQCKHRXdrPwer8DrBTPQ
P8DnhYzkta2JJKyJaHlmYdW+M4qEwxpOXwsSb9T5TOLsdPgG6q8SUJLQirPDFw61h7Sk2cbflrgO
8qfy/xGXZsZptuJXk5x5Mw3oaVCLDZHtOuN2RQqB3wYdKP8WpmDIIkJqojvK+X2it68iGcTAMM6G
hKVVsOPXSytx6tRlgxrQziz3PtGIvtYe0iNwCGhvRz+qiZIDRKbjbbb/kaye7BPKE32fkr898T9+
H8xtBGY2mJlRQ5q+Vpoc1NQj4oEK63OTRwJkyS2Izz4ay7OBg1LSHJkBkag58f7jCqKZ/Nmuo2NA
LOsJizEiFpmSel/ZopU8AUXm2KyE1eQ8A2/ATghYVsxmD7CudbvKqLFQ4HirFDEMHZBDyIYj5nHT
V1D5cDrDBoGo5rNWSIcacTfc+JbuBh/Tnn9QHJ+mgWUZrrB00dhuz87gleSb04D6ibKD5NpCkUj3
Jv+0zvRQE5TLKDvuvdzWIW75kkK89dvgrgkCoGgQ5Aal7fwQ8mOnRhwYy2i0lczITa3eMixsPQdH
WnKiH/9J23U6BciROXy2tG3I7wfvzi24HsDs4IWGmkoemozZ08/mVlNIhK3+02zfvnR7XA+mvxk2
8o9oyQS1V9kmfpIBtUT59b5BOtEjQOteGtGNecKSMCcWnXy4lxo/G1GSTEXcdvCzAon2FtriuQSq
uP87Ed1sQBdJRjsiL/ETPBGffvEgTF0YwY37wwbAsHIBXIcjeH4tX0SDZH3gYk3BALoQV5DpAPnB
f+zJou9xq/euBc1mWspRkohg3aTKKdlqoFsgZUKKTeim9FX8FG3dIN6CdbsNycwmNzMocZoBbFiF
TCQgnvg1T+U/LdbzW38IaYWIXvqRLYm8t54AskFrC7wc5mRdK1qtKbmi4+Eqq+/DA5pcSqSVYO+7
le9oBvKfk2X15ohTlZpLh+mOXhUkBa8TNEWxzVRnpkVXq0EI9Sah8SpqyXDKbIOi4M6qAXVKOaSF
je9JpdPOt4eJ1JulnOfd5b6QP3838FFYSPIA+WByOmiuWsGc6uZEc6e33IlV/gn09PuVvqNEr+Y8
rz0Jhy5qA5k9TXKCmnoSr7U3sA1/xLT8HDB5M7AGy3stdkue5W0/DO4sEIvgrKD9TIE6u97pJhTR
czL5yBdtpa/Knt7StexKuwomzUIdSkba1e9zvaM/ryTO1zdqalwiVMNRfqTye74azOhh3PnHbpWQ
dDdQaG+aHXg7fAbjk7ZepEy5iTBcz3i+1lkkeHyoQn7gcg/Gycfbt3yJzHirP42+Na20mGS0fBL3
E7egpW6fpDPRTLtcqKlBCOLYk9jUnW7LRyu81Wj4PRqkRev6Q28Oa3GDV4QpPf2+5mdIiGtTCRhb
PAw1pM9BdzG/z4nXqpyYVDGVnfBVhm3CHLf5TsJTacNZYI5xje1gylDaKP8wJ+I9vQHQ2B3W4ZP3
Vn7JC2fgzh3DeBhMMCObhs8+U2nAwpkUJUHdnHeQj4Kdr32rM1BVIdrwF+zYLHpCl14Jt9lKWYRX
jqQo4mFIUpyD0herXwGZUOiMLKbSCaDZo6OgtEP+kzvGHmjg0Uu9BUzfgpN2G+hmMkWAGCEggFKO
8/W7kBl5gSbUQxlDmXQm/zyEpCMyClt0ggO+1R94aFFu09jI0C8dtttXAUQDyY5RczB6k5l/mGex
DEBirDFiKyRc+Zb4x9u2tuGglf6ILvvH38/YTa0Isv5g9AJyK7K02FVdvD7ckpwMVR9zzBeGLrGr
t8Z9AL+STlUnelRNjQZ4Jr81a5UYTvGT0YIaz6DyQYVRuFTpdhuQwFjQdoO4JwP8vcFiq6NaqoXo
PBaRoh9U8Um2Qo06mC8ewo/fJ36bY5gJm6nQvAKWfZ5CWIAy9FX1la5jqlH5kzcja3CW4IzvHin4
3HA8EfpAhnF2d2S+LH2PgxIRDxU80MT9CKm/Q09WimeQ+OjZtQsoSX3vPyw119x6BWxV/5U8O1FG
NQW+pwYxrRIbmP0//pb/rF4iR1t4U5z7+mfq6krQbEUzIw69KoAggE4Yp/zFnhzE0OBfy0T9SnfK
EW8LWu0Bkqjuq+clqvM71hjzRCkYaz8D9eYc8bLWuEqUC2zoLj82D/qjXCDiUVLJowb1afSeP46b
3lURx3tdOEpsBW8mfiF5docUI8iNgB2l5k1XyAM3EcFRTUkj+SeYOUa7IqFZb8KPyOkyuvigYv/6
b9KZRrlQViEHaroA2QJavqDg0V89CED5e+nNYs05ob3oaN1TUKgnwHsBLiYC77Pj1EkJcK4a6Eb1
kP7Fe34/rThU/rU22hpbWvxdwtm8awAuBc6OVZwoui+mENhTAfSVj9Pqsduga+JRchCU5beLKvj2
XYR5AbhdxqsImRd+JjBKUkXtUphd7xA9oOofaqhbg2ZMtKQv77hwdtjTY757KqB5WdUBKAzm+n5U
c3kQI+j7loKNIEhpu89swAFapak+tC7IcH/Cp/akL5m42yeRCPP2r9zZJLtJC7gihNwM5Wf75hEZ
jWEdkS9+KyIGJEDPLyaJ7l2TC5HzNhmv95o4MLCuiTttpY1kltTYG7SwQrf+5D9Fom3HlYJbe5wW
rNw9z+VytnNsiKju5Rp0DTGNX4ytfBhMw/bgL/d/mo1nJ+vuOJIlmWwBbzcWLAQGK6gS5wpfaNVw
UJI2ptNbvy9pvI0fp7VEwyXlwwzHjRzmKKAOhzF6zd62XaTFShBBTo3o9nRCKN8O18VrVlg+WtI2
o1ueomewH8Fjc38/u7MCZBxXmNBzdZcmocjiBoIr9QxxypoBvgrtnfCYmIoNNIWV+mKDnIh2O/Ut
tAMcKt2ut88jqVf09wHc88yvBjCb+6CEeq76GMBg7lCA/BluKvc73qputJcQtFUzsl4CAFuUOdN/
khgOjVr20H+7oCNIURkPka064SF7VXaIK3IO2sgFK0St5sJsWTZovtMawxsGKQIj2p1dWVn1lZpj
sy01Fq+0VDPdct/Kun9qN4shk3tWBWFwKF7gheNdP0tNxQOemGM5wV9ZVx0FKrcpflU67eDx+g0R
IrOyF6Z3TxNqGvid4I2Cu2vu6PdVIYyiJsX0mBhEeUD8/U9NmmzFb6RDalaWeITw1dI1ves2oL4d
pV/AwwEF1WxVMzkOpjBn5uVg2LKTH6cVwxJ1G2s7mhq8YrIFTg5ak5fcpTvz1SSU5rGMrgqfcBat
KYYujflIiREgamnyVWzD47h+4pAVG1aKXSE6pa3xvH0QSbb3bW5zYK+OJd/lLOX6UCFUhIQyyPng
M6HnDYfuwntQAbDAD53KIgk4xu67iAC9WVree+2MFprRyMtOXEu2YkFfTuQ1xTHo1r7ZIH3FRQTA
aX89y6fBbnSWAC7vPAcA/cxOO7jOVGCZzNwqMItwQBTgoF5eCtHyn6UP/s9oiupO9vEOXDh9t+oa
Beo6EhUgZEUocp5c11JurLxcZeG6+qX9C4D3D8kMvnL0IaJavkJZ9BdQ6F+bnb5Z4sS7kwgDpRZD
DgWsIEahMhV/sQcIgRolWqRiusEmIGaHdIAzriu3RjzeoNxzSBEX3QJbfM+9VyS3CifaIkaORkrL
X1AyNw0VmDsKFAGriIYKcOjNKzmEmkVaPIxFengPqfRWWyeEtpzWevpkpR3h8TOtLQTvWcwW4FGy
GW4Lkqzzk29PlmRpj5mjWwt7c3tTLseEKs3r9eFHwe97FvvpwahDegsIOlbzkfDkcTQLVGqHWIkN
t1pSuOKtj4RwJsM8BfgSyornlJJDiR633AgTWr3Ff2VaZSjH6l7QRGr7W2lPyp7KJPi7brFW9Rp8
bz8//Pti/IOpgesLikFoYBPC8QTo5FxNjECg0oc2SqgAhhE0bjv6mv+L8HX8kjvJJgvotB5+htoW
ycKq3zr6aM9k2WMoZcSy5yWxUSaFmt4gdZ3vhU3qgEXL5DmUpCnoWUc7zxSRYaE18k6Q8Vrk3LYK
WgscEYgUncwNj0+Zi9Z04ZV1FRU/2Gsn2AsH4V1CR1GF5qOv32d8X7zBOpwYLtoN32GV6aWcTD3y
Aw98QP0jg4fEQu8Na9qHNHT9J8MBGFZvssiut8/d/yKKjgW4GMFMG2scn3JDBELowRZs5RQ8BaDB
MOV16RSbMkKVBtXW1P/Dv1XEWLbAtzYfiI541MHKSqg00tg9vNBDYQD4QbHC/LmVt8v/cjUZjnJl
gWTXVNAPTdLFOPat8wqJqKXiweSDg3ZOml1ITIVx6msBG84f1IPgwqESD/V3ihqFlXpqNJN79lDv
RgEmay5qlXsXC1cLTjMj9EHp2vVsg5StgKwkcJyzNxy4h6CzgQti+o2JjTb5CMQRNP9YfEDfnbMB
Ih68MhmK3MzhkItRmgKJzTndaHb3Bp43woO1IiLjY0bqR8VRT635F+3dS+7yvf1FZ6TKbBzmOy+n
zJTQ1/MA+S9wM1kDkXziIV4/Oa0dfyEyES9u75LAmeJWQS3n8xkERtv2J3O9dbdpfAJK9+mHB1sG
WQp1ifcEaugyQ9AcjutNGb+cG21llCLymMDfsrWTQUKwrxA1II9b8vo6UYLSekslq+VuzHvG4lL0
bFujtAfG6wDR0kObmvWRo9weeS/H37G3fOkW1CKD5Z96M3uWtz4qSn7XXnccWbiR/859Tuud6QDJ
njghofq7cPL3+YtgwkBHp2/uvX4UDmvwlZNqt5RYvxPYxBFmZKcS6llYMvf6GuV+7/mZh9Qx4qgl
Wqp+uIcQqezCzjYinrtbzeohfbLUfbBerNph//jcOAKFGTx7gAvBE3i26EKf13pZ+ylFN1NnEMx5
G+9AoBC7sRk5rU9+X+N7FgK+KLqNVMCUg+ps5qmlalJ1iOSC3oxONiIJ1F/739UqePUPxQeOtnTU
CyJ+idAd0Fsoncrc+PX3MdyJZeDJIKObEr1OoPmcIyhIoQJMEx1jGNf8t/ynZAledKvR+Emh7QZI
FRYYKZeaqu+dLjiFCC+A4o31Ms5eK0HENRknomRosEdL/Ou9i9YEjzDNbf8726Mq88FArNWNDktK
5DZqJBtIfcEqQUuDWGK2xZXnT1LJErvISfAjqTSiuv4WkO36wubemaKC3LmqwtFCxglBm+uT3CSZ
UCZNCYdnJMoTkn0m/5Kuva22AyQmIvW79Cuj6SZZLzqat8cYkuF0sIo9vLnnEUfBAyGXXCGRHLni
u/cXTYpb1EmeDCTzPDN/63BxV32Pyv91+iDvg+9FvXm7yCClRRAJ+PAGAgw3oTkuxQtMhuUv9/WB
R+Pws4ECpd75SnaKuQP9T2BqzquwIr4LxHM0QxbIRmZUR4If/e2LkcJb0wy/U0OQA64nHM85gnAB
UlZDzmGaoxYSoEpW+RYYtcXGW/kiElEIEmYOlNzS1bp1eeHpI61usCwn0mKzExCmBSplAHdDxUP7
gsNtSaDwM3l3Wuc2qDz5p3q1cJlvnQHGrA2CSxSwowhyXk7e9X0J2i0voaODpHZCRJoftU3y4D2i
NOsn80kcEhFlI5y5VPJ8x1Yy0QyrA40NQIWaTVaW4saLYyhu4aSc5LVscVb0IR8+lH2HgDeNXfSJ
t6sxJfB8JQrkMKdf0qfnAudr/X09hpm/G/EhcJMMjEH5lFAD5MFcs0xrKBI+sNoPdSnqfeecX82Z
GfELfzMIk6CLAtiLwG13ObppTG8Lcjc4C+uMCAfOGV9b1Me8SE/Nn4WdvvUPrqc6U6Ac+PESWcRU
qzdA7LmhbnavaDMGBhPbaNocY3vpcN25Rigs5xl1B1KqyN1fz7YBmXY1hjjOFcAaPLf4mNCRVhIQ
ChD/QaHFjj8OHDrUFmZ65xZdiWWbcLHIESdF6IHVUYbkwL9dDbZPSLUZaPtWnsrNYtrx1udDWcC/
s5yrbYErh6kU4WTWxHdQR4f5IW2zx72JSOp4sMdv4IQwg+NJWlc0iUwGFx8tGY97J+tyFGyUF5PO
h7ZovABrPSFuQuIdKEFpcDKsb9EF2BAaYIqStJvNsHSs7i82SuhU9ogy5uk4cArocQUyZTScdKay
avcp5f6meLF5hIVLF12gu1eW8f/+j8CZPW7RMCrWAtORjpDYnjM8+QcU8E9UQOPLf1NGh90FzAl7
LfFokZid4RaosP7oQUG2dPhssI8p0WwcYiKeQtR1FYeBLnFY3ck4XsucHWA9A+S76uOqDrb8E296
C4VkTr5N9qWLUgRbcZcMHluzuRq8nORsTROlqVStg0De8Y/pc7iN3cEqKH/8/WbePaP/ruXZu704
o0oRBmpfQUxna3YbkdpWMJ1u4UguSZnZlSgLRkEq2ep9TqZ/8LZiDvMlub/PZWHJztbtYi5ICXtN
0kNKtPUcAL281iZY9Owl7XInCH11Fs45sAs5rSA3fjRAjnwQoMyaTWUBNfwNlT+H3yd059SdHVwU
YyMKjxLKmYHwBKMpgk5HwlDAK0ovaPpjoEi1llhXjvbO7dRTbOar36Xe8QIglQGiwQ3QERSY7RaL
Owdh6SGpZGVPCD3T1I4QfDO2iVurqMvPVlL2ojkFPfTEQHTa2C4+4m63Ej33mLKhgG1eQzvuterk
a9EAqU4KJ4Ckx/hF6IhvRQKFI0DCdeh4QAiRUMCx6yzfTk8AWPx9Ce48qK7ls/FdbHEJwtrakFCp
264nWzATW/4j7EdbJMmzvvvSnL9fCwJvdfaVwPk9bPmpAtYdBHrvikB6AGq/dBuBGJayaxH4+0Fe
ZWmOt34mo23HU5lHooFVx1zPMeJHrlIGbHNlcqfosdx3p0gz1S2wdToyOca7QGOz9KikLGqdO2F0
YIxge8GAjtAm4unXsru0LAO/aRFWPHVw3LdvOdUmFI3KgD/Yd5sQsEgKAlKl2T6mH4Gl4wgiNiQt
LcFtFgHDYM8bYB6D61OfRTel3htyvcFD0vBspSXibqQfKcV7Unw0MlM6lG64RVjVXdK6dyIkiDDC
fMEFMwB7OE/vdIZSBX2BoG6LDL22Mk7faLz5xBJUcMdQfObwq35jrIq33jCXLMu9ww2oHSAt/j/S
vmu3bqYJ8okIMIdbxpOD0pF0QyhYzDnz6bdGwL/WmUNo9vPCgG3YgJqTenq6q6tAFgZBcNp/xVWm
C5yByY/ejAcoEKjmvFNtPDUDZGYQJfXotNFdFrruti+X5GTQFIxcI3mz02bVbgzAK4kkp97bkyPv
Q1tcS3a+ndzUJrBs3Q4BHDWLHAKOdu7ZbxtLdxjd9guY9OuPoKL9SCuVWuYn8rjCQxIn693Y+naz
j9CVbOx1s/pM/uxEMzmWts64ar8HeH2lX9umd1tV6+B9hW1sOLADyq+vKK++fCgb/YjQ0FTP6G57
zc7FQ3uY39UIzPCW4PhvDE9z++i4/grKtUJxJYeqCL4CkLCXCpp9o1m+Z4+7/on70lfyXZugYve7
TXHB1aB1F/3yOG6IE78BFD/cqRRFUE+deaRRoCJyrCDg7bWgitOOD7FmfvBm+KU+XGqTM6zaAe+l
jQIrUHId9qB66LYxC769AEtEJhg7H3g1AchLjXLvaqtoSejLGR71Awg9zXGnr53ESzz0HIFVBe2f
HPbDYM6d+ch5zD6Q2yWAeaRIcSCg7AT3c+395Kif1ExQceSVbTLYQLC5vTmeo/18blOz4tw3kdm6
vYDqJdlvlDaQFF3AQs6lUrRKpYAzwGzMboMqbhubUC7CQ7cDJPMIljwAqMuVBDK6ekKZObOAfoWo
OuJBZh/5bUB4/THi9QwkMyQ+0wYfA68LBF/c45UQwNO1p9jF+vPP2h2wsKDli6wD46pdCG+ubVP3
XqfnkZDksN0/J1/TxhYCpzLlU/fyoX/O3ohHWrsadqpmxmfNK8hjnPkcvn2FX38C5YU6dB+VNVmL
wjHupece3QPSXvHQXG6NDrc/i+eSxRRwi2BEDguICei0IU2NzN71jHcAEA1BXSC103oTaTVs9nC9
x6ZxktPIMrYwPsA0oPyCHY57nr7efR/0QXmhQSrw0HjhRQbX407sTP7+lDyHThCvEDs3rMt8YU9d
GaXcq8iFWa5nMAoiLS9YCaYOkdBV81JetL24Eo8KaLjBwJBtBZKy/d3DLdwrqDfAn+ik30kEGOt6
ejVjHks/0zM0XvhetY/X+iaAXPi7eAqs8Zw/Rbayjl6SS3Qfe6w80tKORoMX1NVQLhUAlqcexCO6
NoemrHBxWvkDuLXRiaMIdpciddbEaKIlPazJLvB0ENilDtz8JfeYsdRtBItLHSUXYBsBBUY/5fUM
9G2d5i2Hj6icNHTiU/ao7/i1CJ2hDelUECBN8w8h7LVN+i5DbaLgFNisd9o9KARJh5dyJ6OTPgOr
J55/ln7UNrnF//ek4bVharnBEB4ZY1gj3X1OT71NKmwvylZEhlZfaw7an1zjSXjq976l2IydtnCQ
NR4+XEe+DCBSuhEFrcqEggQCuP4jvynvVWJOdCsdHUATa1cv2sI9BTpbFLiApL9e0yjrJ9CLTEhF
QnMONWnuzehtgI6Q52eOa8FnIMH+1xa1f7g5iUFYDltAH2eHbK9/hi7BkIuueLRQbdjz7zxDYG/h
fU2S+n9tUgdHKKpJHATYLJwQ1Z0CN2NoE1ouaR8eWnOjM7PbrFFSO5bjBdIhiDKghnv3g39KApSR
pjWQsLYBhk/BSjfdmlVMWugNvBonLTRcZL2itiPGCV2hxkHJDGoVlnyfb2P7pJ0bUD3+vklv29QU
MJiQzgu0+MMn0e+bJpXnWDSiAhG24nKH99HO3hqzRoW7akxv+qgvd+Rs5ttdcgTNx9M99xBuyldw
mXq/f8ntEuNLACAFmx0QU6Sgcr2Fk740qrJOgT5eca2nn3lQE4svrWKqtgwOl95LPhgBxm0bEUwi
a4LRE95O4DmvTbbGkIz6CBH6+RjuRrdfQ2zCEl6LnfwB8mOWKyKh0tWrgrJGnRsQzPrYwbDWuoip
V4Ade8K23s4HtDOPiO4Y83mzgYk5QyWRJGjSAA26HpyGB1THZ1VhSQIIAloQAM3mNwZMhWjurt/M
1hselqyK7+2DGWaRjsL1hpc6bhdqGX2lFv16HJB8WsdHff+gfoprtPtteCTA0IPX2BbOFBcx9vEt
svvbLABJqMaRF7N8PdopD7SwLnvsniMqwL0dEF4K/QGxTOJp+2JXP6mramusWUwgt9QAlGFqDykl
N+Rl1mGveq8jDM/HfDdg+7rSfWEmf8pdBU+FolyLwCY2qwu3cTpAht8mAIKVNTNeJ/cZvcmINsP/
5oHaZCr0ggJexee0jaOstHtgPbcquFDE+7KwG3d00HG5qnbRMblYUBVj7LkF66DNRgEeJXhwx8pU
xB6HWqBmUJ231Ef9VdsRiuTG8k9GZOKGQBHJnjeiYHJ73UUjGcP2wn6/sk3tgCqup6qrYBsM4l/Z
U71LT9IWaDQdwzZKa7akyiwf+QvDLPmx1ISDm0gFpgQbDzlQ6phB/Aqp3xJmua0K1hthp23nreFw
fxp7gqKAyW+ZdefbkQKqQxClIGQC5EClrqZQGKJR64uSVHHcbhMdikPxiLVdIS2FUDZBe1W30h4Y
AyVv3euBEqvgmRZ4ETkhOsTwwzYVUggXWiVeWijQveRbpLb36FOzoYT0+bu124c/ElA/rVFuJGnH
BiRIFeoo0ypzQOj1RPiOtEO/qVfJ2ngE2ZfTOy3a5CSvvovskplZJiflZryknYFIxaPFi3r7q3FR
RHLWlkj0goqd5HvUdbWvVwFwjmuY3cSjKbzEa+by3h4iPEuQ5cUCo/oLRW582I8cTJ+iyNDDmVnT
WQEH/BmcJsVGjYH3y9b5BWXSTe5NdrL2Ad1m+Y9bkBTBjiOMRNMp0s3ACl0bz0s+49Mkg17esYjQ
VzCuE286Vc+yq96r5lv5hUSXUzhAt3voS2IVhr4rgtSkowSJwYOFAjrAdEU05dMmlyVs7W5DmAKm
M0J2M5GhdQTkCL/2V5OdO/GjfvnvCDwM/IdlnXJdc2LMQUAsK8fskB5bF/BD55S7Y2vOaKsgh6p5
7/d1ZSqsF9nCguNBKgI9jLZ1gFioBU8zrm9EqDpDyw8C4iiB52+S0yG5ycxnEWdETS/CHR2NK0D7
gQmAfMmPrZVEqpoWoVBa8n7aBHfTIUKIx62DdQZrHetRcusaoezw1xodzGoF9JpCji+tdBei66Hc
hW60x1vTDbzZU7ya+b5eCOhgEczB6HtCSRaN6Nfj07lZG6AySY7ObE+HFN3Kn7Uzuf4lfOVcJvk+
+XH0dOqgUsAgIRYB7Nm1uaCNU3FIuxJqOY6Axk+84aNH/qT45PG+K1kcMbd5aQX4diAHcbkCFCLS
9qBd3eSQrMEedaUVaGcd2YKc1JZ7BOvT8IK+Bkt8gFjavvR8J6nN5D37Sph7aGFVf37EDc6qVses
U+EXxwC5x8jhASpb5eh4AqOGLFrVkXsYQSfS2owbYWHvkrgCWpm8ThLU1EWLFpwqTWbY1VBtWw0Z
2sxexRNizJNwqOz4wq8hR0CaWtCviC63vDKrLRNrx/oIKtoL/SIX4g4r0LrCToBQHJDKojN8ZRYk
oNQ1QRr4qDLnT7x7Dt6bzRNjEsi1R+24n5PwTQX84wBPklZCMQ724x3UfjzhLkJLzXjSE7NGvR6Z
yRxJ0Ivo+nfxRb3w5rASD51l2I+Sl9kZcy8sHABEekhTA24PUDzdaJipeZON2YRy913z1ECPBMJR
u+rEoRh8kg8N81G+cCdf2aOcNG7NXB8K2ONW+nly+H20kQo7vZRorRLWsRdvkpNisfCz0kLAhVoY
hC9AgwfGDRrGOk9xr0gdkGcg/5LB3CKA7wqBlvMh2Miaud05cKSNBloRJHh0M97Ea0T6TraClO56
3E5O7kGS1bkXd9V9js6v3/fEwsMZ3/T36zTqYJTZrKlZha9Tz3XoCFsRkJfeghx74U5ufvAd3v76
3eRSlHBlkviIH9tQVgq1bAaY1O6fI2deg8/2VbTC406wSIu/b2ahKe8iV0LV/3fTzNFSJ1CZjbqp
RJjuvrSH+bk/viMM86DNsjll3mglLJ6zhQctphcqZYSZCz1+N011AsEcygnGGtjhAyDicWimX5NT
OUf03V8GO7gXkKdZQ00QMjyMBP13Bzh14NE+ibI/LjWU32lvqxl+ENZqhwS9kwJAAjIh5xvnsOtF
QMcV93kwBVc7RqZx4MzG63oAjQvrJXQkcLTq5rgVHDAMH3R7KMxV+zxhUfqn2fPNc2n7+9BhOKjb
9DrA3kQlRxdIVy5SK9c7I4mDCJAbfG/yhDTSbNfv6J/A4+tP5yXg4lyHO+UEmIDTrdTDf8+Cwjgw
7qCLJd2giB+vjUtJzNWZApw7eqBeoag5vo+qrdQurv7clE6/78TbZD6sofsXBN+EFgYl+mtrmqrm
YRz0qAXVOO0aQWdqZv/yXHiEN0X9LDxNQw8aWJW43WxtlM9pxeriX4gcVQ3SMyRyBNKOpkaQ+zEX
gx5y6/VzhnRHiFdZvPHvJjQHOYzRkrmjNqIONABIB0FoBY4WKnSM0iTootpH54IlW/39IIOS15wg
0PYUbdu15GZIKOV3BujuURg9GWvD63L0uakm1HwbAIB+/5wlN/Dzc+iGGbXwk7zmjMzKd7qnopoS
OMneXyG3EG6lTXTPBIIshD1XBqnQMhimqixijD8C+y/44tBrdm5XGkyNTz5YMUrvkzHEmzqNgtj5
74yrlF+fh8yX+gQWB6uFoqUJpoRN7J7QqYtCiegl9u/2lpz6lT3qcg27YdCzCvZau91Ju7m3DDNB
zT0/yhb/VoD9FeqM9gFLHCKtg732D6796gOoA5WHdaE2xfcHNPtGdLHHVPcj2FxwqfqayUOLGsxd
/3XUCCYNOCviLvAsoik4oriDlG2CiGqyBLu+oHRy946TjOZ9PIhCeNPTBj0bpw5ic6xa5K0HISKA
OEsaeoIM+CzKXwkGulYHra2xicVXwtwZOR8vMfrzIwdceS5oE8wcnvJxgPLY+b8rgsA6KFXRuoK0
P36jUiyyzoWKOHS11eD6AvnQAfQ8MIvSY7DvLelJwllG0272sEqYzX63LzXUvpBHQhcUGrFIy861
8wwGdeSkoqktcQ/qMrAK6+vEuhTPxTpxWb5r2RhBkYCGDq3YNKBplPxOjlrMM4d86LwyLBIpZOvZ
QT1pxXRNN28EMrQf1qhtHKZaMKsGhlY56ibYcGZ4TO0oMtXji7zNY8axvQW5UuaoTYSOl0oQUNTF
m7e2SyAUoDChpWj5QcbI+v2w3JanKFvq9aqpQgygYgdbw6Zz3sdt4qEv4Jlgxzl3PDKzQTd3DmWO
2qGC3IHDigytfe6c6U3b9iBzAuxMBrFHcN969eOZeSZvKqmUTSq5iuyTPggFbOrnbBXapBY2WeEO
gjlSBrqCFhSdo4f4indzjxU83Xh8YlsGxTGpf0GMg/LAAzrJmqmGbeHD+EzeXH8voujYuSPS15ti
zVzOm9ckZY/aqUrU8UlJllPecwAWDQhVCA9aBf525LwIPWZrpXvdyr3f99FN2ELZpbZsO0xGxlWw
C84xV4/N9zvF4/8f+g+Wx0eCd3RJQaGB2j8pJI9Cwejh4Tai1/3J9mAFAZotA8FR7fRv0fot3HRb
dEn9Przb4OR7fH/tUnvIyCUplmO0qhDuCZWoMvq7+r12BICG8tR8PLP60qVFn4NagKCCsgrbh1rJ
fgaGNY/gy0l0Zuwa5yisJ+t49+xDNYD01WgHcb2PHv+o5vQCBgQzcL1wG4F903h4ZOZSiRu4ihUx
fkgtEzwRkEUKLUrJFbFQJLlcg4Ycja7RakZcKpvKGa3cxYASYLXjQVQznzqe5aCWTi+6W9AnBmYA
JAKpnRXKKAE1E1+jnN3rq/KEqNBy1COKFDwjWlkc4w9L5P9/PIEjHpoY2QhLldNDbR1vrdxgjOY2
IiPziJAIwHpC+PaNFPxhI9EzufE1Ff7vY4QGJp4YngZwh7rWd2D2nFH+CM3DYBZgfNDWIiPEXraO
AEGBT0J3Np2+hdZVVnUjVnHaiJndS1aJB5wleNjBd4MHXg3FDDkH5p2QsJ0baC22mb1Zt4UgMgeA
XgOAKaJRjOY46vIoFJICTbzqvnnT74IMwPcIGY7pQ3PRvP0mzab0WjvBAw+sWvkRuUbPWIalWw8K
mNBGJ5uK6HxeL3UpBshLdlFjZcjPu+URjb2usuc/W1SgStAnicY/3OlXFqnNpYlTZzQ5LH6/+kEx
OpwMYEFb0LDVrOrDbVMYUfj9MTzqZZeVowrihRAq7J56Du3OiW0uBdn4/eRpnwzPuHA+wZYlAMuL
TDZmlLrh5qxJ+RpqjbjhMB6Iq2Qm9vKIFjt1P78wjC04RTxVAR+GKZTxaHjHGKlVGYDzGI8l48g7
M+gCwVgIQZ632Iw9HF2GPeLWKbd3ZY+6bhJfzmdJzADZATD6LHuEWdxFjwLSU3ZnmK0jncnFU5rF
LvpSHhjWiYv/zTp16YzBUKlzDuudVZAHxOG9d3kU33Wbvy8+ayv8wzC4cIsjIwrGG/BNAXBAqzKI
nFjNnFhAGXsP4PewUT3FOZ6OqAeUK4iceam5QStwh1TEPzQyEhniH7apAzLXtSa2BmwX595EPcDy
j4nXO1+dZrJKokur+tMUtaoQuRfTISwbMKfnu/DYrrg9d2YVfZfcHAYEYVkeGUa0/FJWWq0VAXau
iJUZTDYtaGVQywfTy7pevYRu8WzsxYfwbtrGCGaS92RibN5bHrPvGf37AZQXqLO5Gw2efAAwsdNZ
BTZJ90aIPPGfAF+ZtRO6gL4DnypsQInratAWCr3xaJhPIOx3GFuLjJbey0gwaygpgEQAabZrj5vU
UTVHfA3wCoIX+F1k1LpDCMcbEC4DeRXZHcgEeY+11ksvRdAI/jVMHaKcg/hVM8Iwul/mNY/LnQds
inBY4QBH5T+oW5Bp/2uQZmDpgyaG4DsMvgabpjL/5KaIdZ+Bo5xsHvkOMDcx5nbJBf+0SPzIj6BC
GausUwRYjHe81f3xH9It9wqanYPEqlfegrKowVGnNFXRf6m0ZDbdcA3U7ya3M88AFgqDS9BaDSmN
lXiR734f4fdz/nb3oGMKfHioldKlfAV1wlbVsJWNe3WjbaUL2CDQYH5CDyLmlndL64KtbKWIx/kV
bwsvrDLhYsSArYv0BvKlQOlQ11xojCnf6Ri46iEJYMWfIXDVh+jE2amD7tM1C8a5eIf/NEgtahfr
4L1HZYS0YSItO5iXF9Fs7qdVAbL3f5neH4OjwqGmQsha+7BVOLzvqOiLS0wehWjQbl4IXxMp/pz8
00d5FzgtXuoJ6tL8fy8FArCKqBCAK4hoAGtIndTRDwVo4MyITj3fy75mt92+z4hPNQe48vvgVHpy
gLDi97HfduTBqqKQJQXzJxAUdNoq12ZfSKQaiNEClDZOth+8ERtaMXMIsKFzn0fOG2eWRfhxC4wh
hsGqgiIQ+HpvMF9SlYxNn+MpoInWuK02wh1nRY66BonnfO7W/SaDoMH4InyyRK+WDjFQpLoBXk2e
RwmMRFk//MVYF4T+ZCIB+OjG0JoLVimOsdxa/kq+ByRpE8oIpzrmK5rsI+oYAwxtgF8FgFLMN7XP
ZLyvomkW8Iq2NdBX2sfGizTHFCWn3PuODrdMiJGZ4fBCHAUkNDKioLFFbpJ+dOnq2Op+CrPSPcj7
Uld7lgzbv2/c2ZrWiNzcZrIZu2rhuoOCA1gLIQxKNN8pP1nMAp8YHAJS3mvuCC8POopx8+amvPJ3
KOXavM1v8cJjOMrF3YyIFXgysMoBfkR5jWlGVT9rR5L/mZ+Bc5feY2TyDtGmvajr9lzeqYEp/GHC
ZhYCR7Q3ATOpiQrpRKFudyjyDtpUasgi7o3DAFb9S7IqV9G+3qSPgtVA1WsdnHzH/2N0q+Sd6Zxv
QAs4Sj/NU55DasKGN4j53i0O6L0BN2P+jksQQMZmFRaswIr4+uttLEEPBGEdXtCEfYwKrKZBmMes
lxo8oznE5SJ+bxBcSQdxY7iI8wqvkXApxcAJb7Q1UjKNhcQMy4F8F15vPgMwJQMwVR45cGrS1Z7X
Wy7BD+fRvVpZyCG4ktfjU8BVtOoAyQpB5p54ORw2BxUNZc2DC1be/8OeA84eOFlCR4ZvocW75Wn2
B37UGyt4qj9UR0B3xVH1UHb5ozn5KgYPt7CZGHTNC/fxtVFqySPFACU2Mdp+TGgS1Mx5Ve8i3FiN
C1bew7RiHOhb13VljyZr7EqRCAXC3lO51iG3np05U0CCc3cxUDBs98L+/LvF2yN1bZBy0lNWQK80
hUHtXrq0aJkA8fFDzpYJuQ0er+1Qgc3Iz23cTbATr2vAgHc9+iVckC48YBc5xXpyUa3Snfz79edH
LiuzuPBKubZPeaxADXy5IQs5OD6y8vKhdeOXzIHH2o6QsyLhhoZdzK+j9eFrPIlHEcJp0buPJWbl
XBfyY9ffQt1PBZ/Hkt/iW4KnzkFmGRzc6IiCdhpIV+P35rl84rz4cB/uByv2WNwfCwHBtXXqzjCU
SVESshLTRnV8T09NA0gjAd2UpC1e/0heuLO+YmamyEai3AjaRREM4N2PhKRBeTMuGydObOFG1Nfc
bkGzcawvwqF0snXxWSGuZ5Vnb5012GwRZwm4p1CkpMO8yRArTskMEmyOzxp0lDJn2yKolq0ZNJWE
fsJ3wYXwCHdqToVZb3JGGnRpon98AWqI1/GPMVTSmMz4Am4FkHnl7DOnfUdXg5eCcr348B+a03Cp
X5mNNAv3BuyiKC0BmYwkLOWwFU3u6pzDAqM2+wqNNGgNvUJnM1jfV+BfXWWJxbwZb+MQMtl/TVJu
UgrmeUh8DJW3+rWwCjpbPfUtkPaCxb2ooByIN+KBO/ErJp8v2a30tgKVDX6RllR06F5PsqiUUyi1
PrIP3rgTH4EjjG2wx6xwHXlILoOI4L72hu3Tf/aaGO9fq9QJnvV+nOKAa9CVmodmv42/0P+LZhFT
+Pzd0EJegczsX0vUac1ztUkiGePLAMs9tM85cticU6DpDiKxrcfkGSV+8Lf5pFay1v1SE3rYg7zc
QcHzrHKeeygCrP173n1rVkwlk4WL4WqAlF+Q1THqew0GpQ8wBWT7mbfEweyem4dgZorrLdS8wXuI
5xf6FBBG3hT0gT9EJbrCwk2p3T43nviC8GGvHxWgrBgrt7QzNfRIIlAlWAW6lgVds8qYs6AF62Bw
J933NkDl7S5+htrunSw7HdQD2zdQK7FCCJZdasdEuSolQQK7wkfihE+5HUFzWQSptwZImyUe5Fck
XXmPtMn/y4iBZgcDCGGlM6g3bqiKnT6lGu7YTbkTPhtIY8IF8Y+AlwV/dtx+fkvBAC2xuD6WgjTg
HLGs6B5EnYVG2eZxNfAgucYWOo5uaFWA0x34E6SUPirXWHcrpoTtQp0W2wj4OTRoQ98a5K3XXodL
lV4eKmicdm9651S9M27Amyl56SYCZTlqWSDAAbe29MKY4SXX/tMutbZCXseCWhO7m8HTjtwdrrd9
0VntvnVaq31hCYAuvOExUMInAqg2cJk0TluqhUHju6i1jI9JNo1LeC/cZfuESPSN1gC+UA5lLH5b
2LxmMsa6EAoTNn40Y4BTBt2o1BzzcdgMdQXTjQb2Hn7j54Cxzc50Ai/ZSr9P91JpZkfmM2MpbgAp
GUDpSKujbYLyR1KRV4kyY4pbUHUij2z698H6JdwbbBEa4ktpX/vDlEwFCPGgG4E/Y4QlUCpI+B2U
9+RPsZ+O4EqfXNlVTonLvwYvIRtFtbiR/o7yZl2nQSo6MkrSJoUsJ0QltEO+enn0rWLLXstFn/TD
HPXKEPq5TaFIiElFd5QAKTcr2kNGyZLuiMq0tkv32T9Q7hP9eWRxUQJHuyOyFNeHVKxHYIrFuEVJ
HxTVEEZeKeZoj9tBADEpXvHKawf9EBAsn8cTY+8uxUM/TVOvjXI00hyiFi2iEuVDdPICWaiESI8f
0Z1nnCH17gVAkflOznSGCxc4vC+R8EDyCwkE6tgIYjiIowDT0wYhg78X3AZEC7jpTii/Kxt5lZ5j
7/fhfgOWqY0Mm+icglwtcBs0Js8QxkToI9hsH0gRuEDPconIL4DIJeJPh7SQjE7mogqyUQ/4j11o
DlvpxG7zIIfztw+h9lmVAII1pPgQ5ZhaT8k2Dc1MtcTW1qFXA6Tm6g16tZXJPeSP0jpkMY8teKyr
aaBWvRjrxBgKMg0uhHlBdPDcjFa/im3jTrhrndDUkHK2fp/7W9y8DngiwAVAO4AoHXTe17s80ssE
Elopttom3+1x3/an+AQhjQfscVB/mWDjd7tPzj7HeO79g20BZwwiRiCm1xXqOhrUnBfjKWutqoaU
e7JCG8FXBGHIbFev8lWuWyfxXifZVrDgraa7361/l/zpxSZVku9ADn22lKfOtCkIprDF+yo3Q4vf
qBsVR12dIKBLCKWTtbIf3EO8eTlBJQ48xPcQILfTreJVbg6uRTCLM0mCFoC5wCf8/SbapZf8UNeS
2qBwdXzmnGAjgTu0OKcXtNaBryG+gL3WOSe8qZyqbWADbo+Ot9+nZSk2+eZbJPJtaKSnD2NSl7mU
GdAuAweUvJFAjhwStrUeeRYwBZ0kU0Ts97vNpYzGlU3q3E2p39eqDpvvASiBd+OFP00n/rmyX0CD
AhgkPK4dbuQtZn3FZBJduFyujFMnYDCk2DDyniQ0SJ9L4fiTlXgcBJsGyKoIZgQOX52ZUVo8eITX
8n/zTJ32ACwWfpnALLeaoZ2mmMUmSVDxbT521YN8hFKare41ZOBFZrV50eH+tE05+XZCxDtJmG/p
KLgzKukIfN/vVCA+VVvY8Cf+aFiSJ4MpIrncQ6TV/Ae6Dvidn59Anf0+b+tB9fEJ4l4SsMVa5242
R5ezvo9e7mbPpadtJNBG/L7Xlucd4lQQvlQh002/+Mdenpqgx7yDvg1bq4Ff7cz+WQI3ioa8TrmN
IVKAlz8IRX3r364YCGOhBAHTBDF47W+FPB3iiB+/syuCXa0muL53zPr2I38qzT+oQDxMJojmrfRJ
Z9Yul+43aIKh6QCCTQYAStfG1b6uk2qGcYlwCxkmyrbH7A16AZZyxu1eg9eot4qXGurdRDR9zZj6
pQvup3lqyw9VFGXqSMYOCpKP8TnZx+gaLq0AKgkQLkreiEh9dvz83eyiU9UgCEF4QQiYkcpJaJE0
gMAfhZAaHOvnHplK7ZiDVrRcJ6sBND8SSuRKAg+HLmo01cQOOELCR5lJUnLraMBsACZZqCZIINCk
a7hdU4hAVqKUKsKjPbv8/QjhqgI7TrWNBBDv4TmwunfQoP0+/u+L7Pqiu7ZLeVehiRJ9UrG6mvmg
b9LdfGqc+di7Z3BJ4d86yGJ0+GcNJPjmg+Ig5rg0Hgeoo+LUTruKnwQLSHvcgcWuwDkdLkzSDfIF
v30htS/1oqi7UiJfeAy98AF8fJDr08F3hS/YloAEggtho5viHcRMQhDT9axb77sKRX8BUjoI9CFk
Qkj6rk+GnExdOYgAPmrHo/oC4L1X26DYMGugoax2WyomSuzrwvpAEGp+QUeOdxObc1P4JxZ8cGG/
yijc/f0War+mQQBQpIBvQf0ZaX1AOP68GpAm8D/hJuGbEP3iT9WsCfGmsubYCYoFWPfVJ9Dt3oXa
V3Gq4BNQGM7QCSRClF1dv9d29q6Y0ucESpTy4nOkcwh1ePChANYyvEh3H+jDdot1ag12YrMajr8P
yC+LZFAbWZ5xsBIeXyXuozt0Nr+CnCzZ+PZHbkaeeCxQxLwMqFdPLp68rGO0EKRczwm1SbOwKYye
LIvuvXfYg6vwHjXk+Qzk1MuMztL4jJSNttOO/kEji8RiZb513kAGSCDaQ71eQ2qD2qKzYCRdNYSg
CuN2cjvZ0pQ8ox/oMebSV8HHxKdoT2mZ5YDbBCvM4mVGKDWI66LCZCXp+KpUgZwt65UvmYng9ZC8
BamXaKkzACfwpkD+/O6ybi8K2CQleh7FWrhKqgQhdxOXiwQZbEh3imjX2QQvzbiNFm0Q9gykcfGL
p5ZzzKrZKEqMK1WDbSV6Yl+uyvLP7wNZwEdhJD+sUFde3Op12g6wEhFi1Ql9CEVyV/njsZF1S/Dr
Hon52paJPGStPKAvjwV6uE0lXH8AmYYfKBq/RIq5yLBr22R6VtHQM87RByeVK76rzLotGCu3dMf9
HC+1SZVM6Ifex3jz0Gv7p2i8tNFTz8wr3qa+yKiI9JSB/kXUBalRZWEmFF2Cd1KXfM68/pmJkwPK
ZlNqgl0vf/R4UUYdMEqdFG1kEWDvDKTpedVAj0ANY/DefZa6sI/QHSe3OUORlPFxOpWXyzW1jQIf
Uz7MZhVtZ90DLZqhoHbNQwGbBXZc3sdAq8IjaBCfpPaxaLSNH5CpyPXJLHP0knLFWs5zBpRh0fsg
av2fGWojj7IwACoFM3F/actjNyN4ll091a0JrYyzpcWN8/vZYQ2M2rlTK/hV2MMin81Wq0PnSp8E
q2jHirFnWYaoPRuEaikLDZlB7TFRDgC0m2XMgnctzh+qRnjWCSSbSO1YWUvKSGiAkvfBqN0klyE+
BFNsN/7bHHkKKtiNyiKRXjyL6OLRIVsAXiualCgtu071CU4+Uly90r2hgcr8fuoE9x8WSkfZBm1g
4DXWqIVK2kmciwR2lGayZnkdzoLTcYnzu5VFR/bDCrVKmS7XWow+DlCil7u8mVI3aLkXrQUeTxS7
cxHErPwUyyJ1CxWSL/ZjmQNy0Plu0b1UCjDwPAKeLtiIcbL+fXyLXuPH+KioDz3TsdpVsNZXa054
jOuNMoTnuR7sAiqvkh55v9tjjY7akHk293FUw17ajG6mSadSbUxZT52ojQ9jIaaMU7a8G//vLqG9
ot6KqaZF2CW9AATn+FA3X5X2OXJ3vw9r+cb9O480cQkwlFFc5rDTGuJrk4A0pY5zbgs18J2YZWja
GEfVycG+avFlBkiF2H9xbckiNWCNVry+oJoIvkogo605V9TtEujZLoWMgMbKZywuI5rlcO6ADAZH
07UhQ1Qz0ZiwjGG5zyp3TM5CibxtfQn91e8zu7hBf1iiboCB04x8HmHJEJ9aHvPo5sgi5LXZJboJ
mop/2S+kp5RwnKCdk/IqMjekbdSTdaxgKRLsDMKG7Szu1XRgVJ4XF+uHKcq1xHVS8iVIASxgF+51
cXiJlcnKB3VdKwZjVIt3zQ9TlE9pYi6HUBgmUQ5QxzFUNM1377LOVCO7LUMiQPphh/ImsQx53e/m
oRwUUbOd46UihqWdY29U6UMLuZz2NOuW0tq/bxLWVFJeJdHCsStqTGUlyWYrGoWZ1qDChV7LkCss
l7KAIyajRPMxabMmf73e/FVWlBDmhDUlHv+kqBnxYnDUx2DdZtGzn2foJW+6rxh6SYmBHiodOiJx
Y8eVb0OU9yIjFfP76Ik9+oH643tocpie0/Jy6NCylSOFJABXrcug4gpVRylcTrVTwwF71T/MOAgH
FdABAuYrS9SO4opUkca8hk0ePc4QznbkYrLnElTaosxI1C/gX2T+pzFqW6U9VwC7hA6XrNpK/ZZX
LTnaDZldaI+gp0lR4I9YUcxCwvbaJrXIeKe1kLgnDWLCJo+OWYuJLO02vk8kU+1sudgH/CqJHdSu
/HY/6Sth2ITtnRY5tbqNAlYeYOkE/5gCukTDcZMUSik+p1GC1yFpPlUx8crRZ1QDiTeltxJSQODz
gEYjGFoo9yeUQSFFBczEWueNav4i6PP59926dHX8NEG5PSOQkIAHXtiS48Zs5G2Dy3/mTkLy5PNv
/3+mqE2qGq2utQIORt0IZpidG65yS22rcLnVFIyZW16gvzNH7dG2Cf0shcC3BUdk8eAg4IDQlBnP
oWUjRKIH4stoKaAGlIyGHjUcTl3SoFsyDq0s8LellDOW6P+Qdl07dutA8osESFSg9KpwwuQ8Hr8I
nrGtROWsr9/S7N47OjT3EPB9soEDTIlks9lsdleJzlwLFEH/wHBjaRJWhvWyvgcW11PzZCntt7a4
KVm3syC4HIPcR3I+CcOnLSK32xbdKNS0A2JfTF5cHpxfGJx+M1fuRaJ4y+z1Q7H7C+NARwYqMP+3
OfvUi3eIQ7t+7X1UIxS4oWdXoWPAuhtHe+p0GRm+cF9twNbfN/mQikVFhMQmLkWVHkxjAmtUPPD/
e2G1GyLN1YbA0F5K575ukCJ56cFhL7svied48w3c3o6KhU1OgwFbluuE3yfjIc5wIAeGghOsCsKx
cW3jtqVv5+dZistt+IrSmI4tcJslc6EkqA73JSjkyK6CypfCcrey8NBr+Boig/PQwu2yGTG3XYp8
UNJiBnLVB0yFBoA17QfZjUa8tKtuEgIn6JKvMdFmaZVxUUslWp8UF9VvO6j56F3/7fxABMWCOI0g
F/EPCBfYj07TUWdC1YDm3EImuCOvjrNvlKvcuBkSSNu8OmTfdjd2+dHJaDmEzmADzYX6Sp0ZyoB0
j6ejXKM3VXdJnpQYZWyN6lmQAlSoKfEGongGqQPUgaM8kv5RImFWRapGy1oiUT3Nw3XnuDTZhRUK
MnQIE3cHuwwk0yvKNm8Q+dN1sAlr5wKIA913JLDKuzlb3HCA3l/cuTpuG23lqkxWBy60TzD8orh9
bd3lLxu65uA93gSso74USRMkKipfouEgGZ3QQjcw3AacOicbrRJvz7by0fVuTa/gwl07rD0F/Nvg
927oI6ju1DQg8feonlyzpJLTcYX4I67YfAK3Eyc9ZiyN1+fvOvfV2NxlxsNsTHdNLzm6xFPqQKPV
ALH7HwmvtLEhoTbhTa9UrtrpPguvi+h4fj7F0/kvBE9LHfVFXfY9IOoCb+a08kf2N7lBqJn8Mwq+
TT7XQsgFr6Mw0aHYZKUfzZexlNFCaPVQOADLDMjRbYPb2WqksUSxgcKy+A3/32uNfWhoFaThcl2Y
+n607guI6OAuUUoORKFT2UBz5yFEZfMlGXATYtpLNcWuwwZ3TPpjH77p4/e2XiR7QOhSNnir2Wyc
dB1rZjoO64Q6y15fpj0Z1aAqiZs7w21UW/v1XSJhmn/eVGTD5HZePg2Trq6wxFFelPB9YHXsdvq8
K/Xv2pAHI6kkSQXh5RRyKKClxRsTXpW5Re1jI3e6BTObEOgCk+lZW6rrRKv2to1SLu050ebDFOEz
6AyChxCayq6jvKIh17VbqFNb4+78FAh3CxQWVFQfQCGH76AypmTuU9NGC3k97RnpH6ZY9qa2Oo8/
nMu/EGCoPV3cocIdf4kBgfqS0bzBfTDN9rax06e/8WIbIP6o702aOxOKcEMr9JIQKkZd7FbZcihi
Wd5Z6Mc2UNyBT2xWJuq6jEN3GKx7e3ztNNk5K75Xb0A4WymsblHnDuOheYQEqe6OqDzK0A4Qdl5a
BB0NyJpRaGXPdVJgbvsXIVj9Y23tSVahARhG7oIud+MwoP6pmdzZOuj1TU3/5mjYjJbzAfZQZnaq
ALQgPlUMN4z2tB0ksYtw3T7lHpEURZk8B6IXLJ/sdd2KzD5MCWgZZiugmu6d31VCk9/AcI6lJtZs
pxZgIA3h9tV7U4J2b6VoSHdhOEnAhIf3Bow7vCH2TstmBlg9F+7MbiowwM3Rj7ZcJO5SBrS6042X
tiKtwbUTQElxl457sOq5FC99ieSlVLZG62GxgTErHABZCkNQ0fWTR/ljrM67vG4fz6+RGAaUnaAH
xwMpX9IK/uQ4R1c06C11yBboM54GHiei/ZXBfaFwjqLIqibCuwQoADvzoDnx01wn+7RwJJkH4UkG
asN/BsO5ij6hLOptBz4WqZQl3hthEZjJocMNvY78RZYQkM0d5yDsJhyNvgRcVN7EBFR8AyR3ZaUt
sjFxexX5r9ixJkxdjmSv36D0A6V4S/4jYTbIBtUM+ak6H/VAZ0v/dN42xJdiHFXo6oMgIShFTm3Q
6JW4G8cQbB9dYEIVrw+6GDVO5U1VXjidD/npHsUE0SQb8zpxf5yVX7if5UYb2y+ipZ6HDGNeNHQz
o1QhnGQRiDCs3EBwp+Q8KB1jGiAgaOwrGEVFDxYcLUm9bMq8GeW+kFaPZApWspFxG4EWEHNiA0zG
VOhxqvqXpWH786smtMrNyLhNYFpJ36otFs0pr5u8QHXNE4V1ngcRhqobEM70QWdhK/OMcSCr7xrK
sYUXbIjutlgwa4IM+sWiHM5DyqaO2whsVPOiJ4AswhBJdXYB3Zfv5yGErn0zKu7AsvQQz7A2fG6N
Mt+iuS7Cct9b1wl0O/4GSAfNONFNHd2VpxsrteIxNHQFJC90vNPyNPJIgebGCToRtvF6Hkt4CoNH
5h8sbqmaumWd5cAecvMSaYNJa3y983W0dYBP5zyU2Cq+oLglahnKYIoKUJreX+nR7KXGw5SDgEHt
o/ehYUd0swdjFRLJdIpN/guXWzdDzaALm2E6CXx8D4I+K3qOplHywiP0xJuJ5CIMHR1Iob6Ozjb8
jj1URoKqNYg6mruqcYIo3p2fTLExfg1q/ZyNE1z6oXe0HINiUTDghWyo9nr73bBkpaMyHM7Ja2wc
7FrFsAgqbab17lcneJXLHvsylXnd1av+6dj/GRMYQE/HVNhKHiY2sJz4ORmPIOPUM3AW9t4yQjkv
e1yc35P6VBqdxHcICCOQmvx37dBuewo8KRazlhzASQvuzfR3GzrRzp5Ut0NAUmfKPq8eh2F2nQGq
LLhyVkO4IwMUFXVoKgz0YTLquzlXZU/e500KbLqnn1V01GgHhjXu0uduuDTt+66ML1L2Ylnfs8aS
bBPx9gRvmAahOajPcl5H1+YKYr448xqmgjjRG0q0r+stFKKOU/FjRvGVE0s8gtC4KDrYqIYMDq4a
pwOcspCQpIHTRubSpXHQdm+t/qu2JHdecep5g7N+x2azKP2cpm2IodH6WBXHPAFl1QdrDvlwP2t7
jeCs/dn0zzW7n43QP79RhYu4web8gmHXpLPWM12vD8xCLTpkdvCo39u7PvLVfvyPU8r5BYg8aanW
AS7Kf9XJjVF5NbSgTcmghKftZlCcV2id1GKVDpQhW46m2f/UeiKJ1s/bBl5yT9eMqalTFQkgkhot
bPBrCpK8yh2rd+fXR3g6gLsAnNUqND0IZ4O2M5AuzSO8fUzltWLo11auvlgNfTgPI46WNzicDXZx
lfWhDh+jj694HdT0IIXalgYiwihQG1+BvFLoxr0q2dVi29/gcvZHZqVt+wW4DarUmqG+CBfdxeXR
DwsoEWZgiXV+tEX8UaWgYqrRNtG3V5Si3vr8+IXLufkMzi71cCn0sVt9GesvKqO6bFEnl09o5FEW
CZQwpNlAccaZO2Y14vYFrYL8pwnDaVJc7qpdO76CrvHwn4bFM65nbRYW+nqnjJpdFCcesJzZUw1J
6Cl0ItDIsiBZjPY/m1tEw5islI4w0nreG+0vFD9VZe4nqm92z43aSna38CTYoHFr5fQ06+iEtVLH
76R5toZL4ryMYYwy38ui2s1dL9mDMkBuxbI2VIyyXIdXpG4EbSjlWmuI25Q3uR6YVqDL0kFC//U1
Qr5Lx4xjFBsTtEngScGdkWlY0u7pvGWIq282GFxQEbaooComDEpl6r2TjGgaZOXgljkB9QObbuox
vVW79qPRRxSBG8tzGy5HZX3SapLbpNFir2lYGpRMD71iwGsXVLpzN3VCRXJkiD3gv8bFNweFYGw1
4xofmqrLhYJXDFYZN1ENSaXzMyLD4QIMsLqkVUphVsgpHvSwDGrauhCEkMCI9wpds6R4fgV9Indw
WEaJujUMh1rPg7W4be73HTgvQLU23auWVMVcGLWCAQCcD2ACAGfkKV400inMDNgSyzxGZ7fsr3I8
8k7x0wQiueLgoAhZQbtIIWu9ExrxBnj9fRPVRImjsHJtNZtpvVemcT/KWmCETnuDwJ2NLM5NHOyY
yglkdcWyq6zQz+ihNGScM0KX/dlkigm0cek9HQpNU2cqR5hGET+YdZCgokJFjGQEySA7iIRWuIHi
Zi2cyKAWxQpV36M1w7Va1c2jVOLRZCjczOVRDI6A9c6pJFcOXv4TlHMWsmYvodtE9TKYSsEC/0eh
bzyiGAxtO6io0JA6T67m1CtB26y3tw4L0gw8qbrkHBLQEhmgIkU/2ypxArZdbnNVbMjyjAKyK9zs
2nyY76yn9obchTsQ3n4Dew5CjGP0GyHGed8h2tQbXP6cJU1WpNpnSmQ52iCMRmVsekeiy17z5/T+
PJawW3ILxnluEHllA8KytYfTcSFhH0EOCOyFrnWXX+T76tJZXAj1sud6F/kZ9ItDEKuc/wTRfth+
ATndD3jS1BPLgPks065PL+cZOZInu/Et7cd5IOEz1haJ23kgaizIGAGJpJdwyf3c+7p6aZooHdEP
jbWrQeNSy5IXfyq04lzconKb0LaHiAwKZrh1y+sFQeejmrpT5CIVH792z+HDZbd2tCf+jzCIZG+t
usyYuM1JlixRB7BcQS0x3oVP1l362vo0SEBROe8jLOh96tu+4TVH86H2le9oGT7uwQ4K66689oBD
HIzh4FM96G/NTr1XLhNZ1C5y7RQdnKD2gTq6wVPuMmtesjRHMyCdbsJk8mbpsSVyUBQqW2v/g6lB
eenUwpoi75g64/AoQtecUcSW70NpJ4Lw8rFF4da5QSc0eo+BgkZXFSTrlF1D69WIf+o9XvaZsnO0
oFafF3U/OjtzVgOJda/7hM8obfG5lWah0qk5BT7TUQPaRnsVBWAmK6sDSVWUYmcX8dDtjSrzKtwy
lXQ8otLob563th+xnrKbc9rASyfqI/ERWnk/KiByRpViXsgeHoUXzC0Mf0fockXPM1g1ruSNvWvb
q2V8sRQL7c3f2vRZLQ9mfayXh/NTLAoRtqjcXUGpJpSVr12yRq1cZAu9HNlvRWOv7az8PI8ks1ju
6GkGtSwKG+Oj852pPc/DYxf+/k8Q/LUg7Vlf0AiDIdnikYR4ob7sFlb452FkS8XzNS62E5v9uE6a
sVNwI0e409vHhtwOZjBqP1PtstR81cqP53ElM8gH+lE8DZoaAzYyvzV4Nxu0e5O8nscQ+9Z//Qof
DZt22lZ5hVVKRtSsDjXSHco32x4vG5O8p/ZjayeH84hiX/mFyPmY2ckaZoRAbOrrUEWgDaIQWaQl
xEBxI/gYQYH+R0VS0dotunhXw+jjm9IZkR5xjLL/OD8S4dxpn2pCqPMy+blTUQE0spVKg9SWPyvu
rF6HbPaJovu1dRvhte6/4XEzl0fLnKVri31WPzTGbZjtsvkqtd/y8H6yGkkEJzS+zeA4V0zVJM3U
lQ1hHhbU3x+brHXjTFKTJ/RGGxDO1WbRMOLJGyDhWAfo+vbUxMH9275FoYfE7GSLxblbKypSkqmA
KlHl76BkJeiW93l61Mml0kneloRzR1aeNwqKlT9S87Rr54qFCJcgaG/O44UG9pBaxk8uDns3KJw5
FAapFJRRosb2Or5tDssBr1fH/LoCTUfq4uEWGmW+fiw85TrfqbkLmdGASNZPIASEwHDzDZyVdL2h
GE2GLTB83OqIu19Q0/fz2xMxQWpT+4Nn7imk6edXyNF7+sVigvHPkHyDsPxw+w2cESE3OuVthHno
wWfl56NnPkyX7R58gu/1R3yvB1kF6qtaC87vRnFQvBk7Z1GsILPV1sAFZaatQMZ7uuwO5Gf4E5wp
eFtSd8St3/FKegtSc50Gf8EifDr3q8Vv4pTQMLLMSYBvPl47OQLx8GpEPXUK5Nm1H/rL8IHchIsb
vZ8fuHDTbsbNHeyp1VamtUonpqBLQ5YG0iZK0MoegSQonxehzehohrYH1HDjYGre0/DSZF6WDu5S
S27I68f+EXF+Debz6N/AELMNwYq3TmKUeyymv3TcZBwtdlX99xKruFypyNvKSmaFzmiDusbBG1So
GDbxMAO1r34qoeGz7BBCb3S2nyzkDZN2d37FhERLmy3yGfdv8KIqd5R+zZ/OXu1Ritsx/YZ/0CdL
b8wWuolv6nvnqQ/KVbHvno3UY/fK1bw//xUSr/jJx7j5iA40efBYsJtaw14ZtV1peJBi+ptzazO1
nEcqQXw9xKvd1E3hhlbtmZDryGQhoWwBOZ/DmmItUwCKmn60WtD2fh1/mFkwZ7WbSgXIRSnL7fJx
nsZUpianq5dVhtadKZqZ71TqJ0Pv960fI/FmVjvavaAFVOLjZEvGuRjS1yq0ITDMrt8j4TCxXyil
liyYbCo5d4LS9BIyuMBwiDsu38b8mC97G7V+EKDcLZYkUyPZ73wxmjk3ST+sC5fbgdIHCZSfCmzB
9LiQwZudy0mRWL3smP78fWP2lQ2bTxosHjuifJtcQOK2uuounYC5yXW7S91W9x7m3TPbDxeja0K2
+fy2E8bCXxvi0zds8NF9EOItEyNWsi6IKEUqUOJeVvP704eaxAF5P4gHeWKeoVdM3SAIrezypY+P
1Lns6peYBVSXDEUGxEU85qTUZb5yLlXzro5Bh3SB1k02+v1fldGAkOHfIXFexBrGPJ7QLeyp5Qea
zRGZMry1lrIOXvHa2BQvhOAlRuPZ6Tkwp7qqMWvlGkKJa25nKEY6nl998e76QuB28KzGZLEtWN+i
pe6c1DhdSi+kxtVQKi6LTL8dqeRI/cz+/2kPX5jcjrbX57p6Za9Livo1IxRXPFZA59Nh+YG2lYED
NsqJCa7VbH5LeiNHbzHa7C1GFZCMJ4r+Tvql/egnNFQ1hj1dqeNUfTe6mD2gu9IAmRXoh1xUAiSH
fGlRuVqhlazuO/s3ygrDl35W53doV0Juq55A7ZrpiuPNHeoRMiuKDlFHw13emTqitsrJrukQDdd0
nqMjeuFAitl1122XmKvYjTH5taMnH4M9Q2Uqc8zDQlvjV6zWKbQ3shy5IcUMUn16VCua77PafNQn
xTkYJQGfo5LclU6iSBZUnIyAwfyfzfD0MnO4UJQGYHZBeKGg2H9a3Dztccx9qyGNqFwt5TPezpxB
RqAtPgu+cLksezHHGkER2ZqBXMCJorghs7zs747vLxQuMlIoK0CxhB1Rg+bM7L1w2MXhr/N7QjyF
OtjbVMglrAw6p9suqh0jK2aA9OljtOzV8Xkx9xmCPvRn5MlOad+btaLtbw66DSoXMxirknMzATVs
fyT1S6KloMO7VIajnj1mpiwFIlyuDRrnWhhNTHBeA01R3hL9w0C31UKD/ziRvHeZyjQKHYCk1X3Y
3xLnZlJLty8v5thvkZkvSm/Em0slewIXHgS6s3Iagg4ENGOnC1jFDmNLB4os2oT7ZZq8PIlv+jG6
aej8g7b53xxwGzhu5UDRSJuegMsm0t6M2p2VxKW6a2RXk3RGRZXsaD/+d2TcslnN6NiKgpE5KTla
SurG9qFy3hTE5Bq9zGL0BBsBNt75hRRFRUhgrQKooItWP0XhNjFCDQJBpVg57+Ypd5uW7eYi88ay
By9QsY+j9DDnLRrN1dfzsKJltFdNbhQUgtSJL2EsoGcEqTvIx4ctDlh6P5hpBqfc4sLnXKt4JD0P
J9oSWzgufAhjairqBLhMvR9ZG7T2c9rJ3KTowN2CcKZJG9tZygEgUfkLchZJ5g8MFAtgVygvSWhJ
IiJt9Yf8WYtWHzzuWtqqLMDBJWwZq8kB34iVxS4Lf4y2i/plXw9BRfTU48xroS6GpmFn7txQe/+L
CQW59ooOngA+AcoUo0rtEs3klPyEn/WS5bWTXdCF87nB4Batzk29yVbOjCwmaJXZjxFa6VJE7W+k
/2nI6KSEJmKDXhI1DYaFEtdTx2LrWRmZI3Z6oSOJE4Ni6H0yS8kdRBT1ITH9Dwh/gmcj6HeVlUaw
LtuXuDB3BSrO/2ZlviC4w9qqFqXoFYyjrZIgRnaqnjvPGn6eRxHuX0clGhTlQIrIG5+jd06SpFib
QXvpMo9YKUwAb7EgkaYDk5i60BA2YJwTRl5mIWUGMGd4DK07zUYXvPmOplXfpMe4+4uGPXhhB1Xm
kAyBQM6pIYR9UdFQW4UDSLWPaOOmkxkUmWQDrd/M794tyrq7N34XNKlmabbYQKVzE6I0waL7jNyl
TAIjcu9bGO7xuB+nZTZWdotoKQ6sM/btgDJL3d5VGXF7cDgX062qyRjSRHtpi8rtXCcLI2fsV1Ty
5vS/SXdBnKfzBiibP977QeWlJRog+m5C+szBO09lk7epAMeT9nAeSzictb3WsFf+ApU7mQvK8m4w
wCcxwhJUzb4YDfOtAa/ueRjhkPDU8el+wHPIwVRdmc5aDxgTVzcUcjl3fWX81qNyj+rb/Xkswf4F
jylZbRyxIHSiT82vSROjRkkx+tfswy2B4tI43OiJjLxuXWfOyE9QuI1bzEYJLoQWrS/NoVo6t5Ed
EQLzBgDkz1QQhhMo7JwOY7bmZM5CAJhZ6+foY1w0AzSmT0sDXcZQ+Yjb3G3tUPLII/BH4LglDgrD
QOik8sRYThhbetR0aC+j8OBq6E6WcU+r2E2Lq+6qMmVlTgLDOMFbv2fjK+YIZSGoj0CJ2rAD60Da
lgeWH5c2k4zrMw/7x3ptBsadgUVsWayNAaSh+8I4msTrrH3WBpnzQscdqQv09hymdG8uvdv1NgJS
WUW4YKtth8rTnSBIM8eK4Avm+ZqhmIrYh6w4nLd9USXVCQjn4fO1t3hZ1y9T5iCcUOaSOm4ytVet
g4QETVFbFbuxNj6WCL8km/z/AUePLyjViIni99PFROHFMo+kR3cBLtMm2i0Ve8eS18J4bJXSDekR
WlIu5CfPj1m4UVCw+Q8q51uUipFRpQP6avqdFvkF8RCo7tR6H5VuleM5WcapL17IL0DOZtFhV+TK
gmE27TX6WpzJqydJMCWcStRcgRjTgq7tH7VXs0HDKqpGmKuadDeTE0++Ws8Qt9d0qKk56GgF736P
Zii8jJnGYoH3q5RxI4jGqa0S9CZIMS2EQ6fLmVvdrGTjgrYChNphRNC6eBOXP86vnshbb0E4m1EY
ysOWYV4rYSNvyr4xslch2EW9sZGcC6IGO20LxRlKp4K0LWQYjzUFqO+fqvvEfI2rx6nbO+gPH6uA
Zdcxe9fV/dIfRuahgDRJfCIjchP5vO13cPbTJbZqQw8RPg9sIZX+Uqizj5wDquonydYQriBUNVYt
aNTL8leZDM9GKKonGLFuguh9NxPFq8rd+RUUleOiKuULhQuJYqeKmcGAkpq5r7X+NL/b6sWgXsb1
PjQvBwopJnKVZNca9ab+zcx+h8t7KyvnXGeNd/Dbr+Csda5Udex69AvrSUBRSziWXl+bbhdT0Ckj
b9lJsgvCuYW+L1gHoPaC9prT3WHZNGQKBd6yOJXPWhPvO5T8MDtTlj3URbEGtGbNVWt2VbnloFha
x1kVY4JNCEnWweSbLl7MvAyS0JmLRx6oi4/Qsu9Tl/1uDvMuuUpff0Fb/ZbcJL62x2H2yqB6rx5k
5K7iOfj3w/iCaOR16n4a8WG1/ZiFsasvx0yX3FlEDgK9oFBQVul6G+PWddHHmbFCR29481Kr8BEp
yDIuzCXQiKw3RDTPWyjOFyUzpCwXHcPp2kDFu0UGtoDze0WGwLmgvO7YmC1AKKGJ0mq1m8lek4Qn
x3YQnHdJpylPjAEQSXoEIUZsBGP+I1YPKUSnlYuwvdJkbE4iK4A+wafos2Uja3O6EyA3n8+ptlqB
sVPtoEazgQzi8wWT390ERASrQAFCYr5BMjRi3BxSWAGEXC/aXbt3HL/9SPavs9/voATsh14ICg43
py5qowNZKbzIZW/hOctQytxk8zrEBFSjKvw0ImNqXCSL5NwX4iDWh+yDZuuw99OptK0RxVwJhjlP
t4nlG+m7Vd6a5PG8FQoXbIPCOWyVKOPK5QqHDVY8SzlYESrKZe10orJrhGSgjqBQHzIhmnc6lpGw
ng4lcoaOnd8o6r5Bn6X9EkYv/eLqZnmZOXc58A17h0YRR7bTRPAE0jI28ni4QoGZ9hSezVYUa+WM
OsZVrWf0J3pP41dz+iDFk1K78eKjusfGptBviYyXS7DN1/SRjap25PI1k9sRLcX9E+qcqAZVlZ92
VftRa8oIskQYK2k6lPFw18WF7XR8fTa03exYyLdVQ+Vqs7mDgM79eUMRnKmErBk9hA7IhDrcONRR
s7JmgHCzGdugKw0WcFc09u8+CVqIVCf27jycwPpP4DjXZcWgL0hWnWhlBP2WYl/ryoRWHsT05nQ4
D/V5NHEOBQKWCC4tHVrJSH2cTl8MavcmdFCIP16UaMAYPRC2uCZkv/z+otwPKTptyuAd9X6u+TB4
YPmDvGDkf+R+dqV7qkvRdHH+i0Rzvfkg/ixVHGaMi4EPWnpUff+aaezDZcdgeRmi66qZ/+JCjAkw
UA6A9lLognHbc4hMdNAVwNNWCXCo9ho+Rv3RfosPTua+jblbUjebvfOj/NSo/HPev2A530OaAelJ
0L14L3kAbosIRLR7yCu54dG4S66Wg7MbLpk7uU7gfMfTZe7+cI4/2gOo7XQ32rXvNyBL63azFwbn
P0wUxWI+KKgncHXVoRt+ahBRl4A4O8SHhc/KrrqK/O4DVJa2H15FgQbupbWrzMuPf8G2dAJLTmHD
iCnasjICRy2ELPXBtV/PD0xUzXqCwC20ro7mUFMgTB+Drx/QznhT3qTf2ufECx9N5IDd6NH4ViGc
RDmCfxEHmfv7P34Ct+h5lZkRi6AUDcFWFwxd79qV4ZfPd/n1x1t1be7H19DDSiu+7Zr+fCmjrxZV
K51MARdDOiSK8M6DKVAO19Nt/tv20IdiHezjx7dyj6avsHCV78aj/ejs6f3s/jw/fNHF8wR+9Xub
JNfUoI7ISDB88/bW9qz98K75E0pro3sILlZQZtY9sDXKiGwEpzzkvtBbhaoQnEa8h3OgWFXlSwau
6TBoq51JEmTHmTdZPh5p1O5aiS5QUqGmno0iye9JHEyyhwDhGaxTA+9oBLoTeIg9Hfhc0cqiEILx
lg6Xa71zM9Vw4ZTRp7PX9WPp3NqtG4GkPS9uFvumkt1/RQcKKmoNjN/U0crG7WllgrKV0QN/NC/t
1I/SY+FEyAe/nF9gGQy3h0cLTdmtivUN0Wi71OUVOsI/lCZ+0DqZroRI6ZTotmFbYMihqMLnhhSD
R1szV1sCf7nX+fE+vLcDdpye7Cdtrx+Gy+lBuS5+P5o/EXXscJTsWuhAT177KttVYo+5+RRu2E3a
gg1Cwexm0AP2B9yBcTVNd7lXo43Sm9DN6Q57dbdc0OP5+RbdcdaYR0MhGUiCkLw4tatpRgeRZqSY
hA6SZXTaK8TxOgiqjlOOvo5kvkWC9Qf6VwPSyrhtRHEXUuMG7Ao38T+eMsCEpNf1jG1FInT6/BrC
h/ODE21bC+KIYJ6yVFym+JhrNh1wbGBWSTzPkxtVJY12kxYxqJflUR2cR1v/Gn8cb9G4kCuN6nau
J6CxrjsWaLXtWj2Y7cHLEnBSxG/n0YRzh6GhKlAFgwj/2tRSyHj1Y9nB5SQoYWuvJpVJblCiRD80
okEZiwqozwzqqW1EaTlDLbTqvLKcXShQuQtkT53GDrKwvByK4iIcIVFhJAfaGO7S9l6pQe+20T1i
mhfnh0tEjgE1kKDehwsC4SB39JIhj/ShbzpwidhBNXWe4YSX+cz2UzgdNEZ2RcF2dHzUSsvLVX3P
+vkIonC3tqEKYKZXkOzzYuhB9mBo6sPvafEjw6OW2VdgxWXXc2KPIHVgeGClkjBNuMPAXoH4WDcN
nCDcDssMEiuRii/X6m90vNIcl3RvFaQw4zuzcqfi0lKlAturv+BtcYu5zubmmLRCs1HVFphRm7kJ
XqcLXfGiMch1ZaeWt5NzrTHmOj0qanb9X6QPyRac23YxC8mUzgDvR+W5a9MLy35qtS5I0RY5hbVr
zO/njUMYFWwR+a1X2GY7detwoeplIxcUF28ZEpeW4VuR5Y61r0PDBPSeOviz2s5l6h4SLgX7Nc6X
1Pkl+ZrVFM9NPncfwvsJi9QJXwMlUN+Zrj4rS02fTMESZgEN7+rim6rkIGt6rdkvxX6U4AtKxAhF
ks+CQzfwaMttFTPTmjomPeafPDWIhoz4Bbd0Qo4mlLLpzslQHyN7wxVdubaYXFhqJJpWTcbQeS17
jIednVzMCiRd9B10I90ykngmgat1bIqrNB7oNLyucVvKpGpcUBXlaHnL3E5xHuvGhrYndFGT70Ml
e/Bc14tbzxM0bjM1odZYUbKW3BURjOY6B9l6SP3SesjG1s3aa0OXnMpiROS4IWS2VqFy40OpllFk
LWJLmjCoeSElZ7ymaLnvc/1x7H+jdRBEbbL6BZG7d3BlwzUedS0o8+PsJjXSobNM1ARBlrI1bwiI
1wkpXKMJ1PFIWKAszDMU1G3+MPsSEhDHWj+cN13BoXbyBZwVxfOoK5GDmdZp+a1oq+rodKSRHCVC
49kMk5tcIxmVqFxLuJIhOkZR4lnmfWMlHl6Sdp3xF0W9GBKe/dBmjIPL4J1B2tF8WrCUTqIGlCye
nbxqSfLUlfZuTmG1WiUxnvX7/zDXL0STI9pD2KalQ79Wj6G2sCLsELaRl0n1QMRrhfod9DfjavTp
kzdHjGIZ9limKCxUcCVzK2X5rsq00gROBXP3BcG59ZDo1UjWOjg1LQ5IjIJreLeWHRSRP4GbjSjf
zpuf0DIcAoUfBzRTcJ2np6Y+JSggW5XmlMIdFH3XhrdNsreZpxezfx5KvNk2WJypD4UDEagRWHQp
1bu5q66dxLrvF2dfDajU1InySIwEfFrIKLtTy+Y7SKTrQW3GFz3L09vOzvNnyTet4/vDcjbfxO0M
Z6jGwUnwTWGevkAF9HuuVjeMZR/h+JLjATADFfOohHszS93FALVbGH0QC3LU579DEOo59uYzOH9b
lmaf2mvJKgTeBse80CAsF04vVKadLsYxUZoDZR5q821JS1uUeKcCThJ5trqnUXYs0XclrQ4XhScY
0BcQt9aGOUyJ3mNeB/tDjfu9NXdIiYb0OYqLg87eLAdSjWBT0efO/x/Srmw3bl3ZfpEAiZIo6lVT
d9vdbs9DXgTHSTTPs77+LAX37si0ThM7B3mLgS4VWSwWa1gra14a0t92uvkCzilLyZObeMKIqSkC
j9g8XKuP4ja7QAF/lEN8lKxbxDhqiBMbtssMzB1gUmWcBJu66ZVW4rhNlSSpk2qCxe4m5L5bZ+yd
Av00f2M52M2FGwwUoFzkOcig/xxjtPtVpQ0WJA+Y4ZaO5qtEEdwh24v3RxDnmYqY+v0UgzsvyX9o
+nxrRHcAgNVzp5s+VH8QePRtQ/0jjbtD6iFsIrSa4kCoKl6ulmw2O0mpb0xZ4JWWH/rqAP4RxF8d
RQYIPj1DC20YvTXImqeyk7UZMK9fqtAxWHINULrLO7Y1nI+rEfEqQ+gBwjFuyxIfnYu/G5HnbNyP
IPpS0M6QA5M51YqbBECREi09pv/oul96/pNgfBYvQZC7mg7tMsHHbNno+lu4XZ11UiV5hvumGeLc
qtE/4AyVGjpaFCb7y3pvbelaFLelpV6kLNYgKhmCQ9orgHvrDiB1B0CYCLxfoBU/0Tp15UhGjBbZ
uiKdigoZf5XsqSGob21eaCuN+DFWWE1aGD7E+FK66yLtRSrQ8a23rhQA+qsldqKgk22gu4WsaOpj
14hQN9Q0KxpEHHZbpxNeHVx9QNhAqpRL7DF56KRKhxk3wWCnIHakrWE3pn4c2u+RMj4MoJ0UeJ7F
TPmTA2BFdFYwZNK+EKsMiFLqcKFaVSf1yaxBIdAUcQqheeVUKpmcIBAReW3v6x+R5HO04pc+ZqsW
+l2DVYYdSDNz62gAF2qviwpcy4J90U6hqG8ZOKgyf1NmyiBFhooFBTbUKQp+mMD8JXK3k8ExFSe/
DD1GFAhKRNIdCrkXeL/ldvwiHGlfStH0vCSfP+vJlFhVhwrCyyn2oli/T/pZkODfXMqVCO7gk3iM
5WKGg+1o4qGtfy+nqVOEomn5rVQQ8ET/qMKdejXHLqWLI4/Toxo+DWGIpuC7hjhJdUVDoCrIrxKm
4v7C1ajI2RNwsC3PkM/rl1dmZjYNLkXa4a2T+V4edzsDPHMSCwUNRptebSWKM8lOpxiT1SAqZNQd
EUPE04Cqs3kGZfftZa02zzhqMiruebSo8yOaCXhjUXfFUkqpjWgVM+s5sA8QU9XZd50Ff7WGf6Rx
0UsdJI2WLoGFr5woQwkzPphhZCWiNOemG1lpxdk6KBFlI52g1RRkuzEEfkr5y5SbqzF86UGJe3kJ
t3frj1Kc1RdhUZF0mc6SWiC0mqfE+N76w7kRmf1WVGGulOKsnuRRmxDQ1Nj9FJlOFfgJitHtXWsM
rwEZbrppiOwA8yfXKY010c5tCkdvB0pnprZMg362/h6tSLKSQbgOKAepdMbxQ2oOZhZZRfOQlr+E
SLGbq/pHIM98XwYqBu4qCCyU3VC9d61jJi+ZLJpV3IKjNs2VHO5Yowpb+XIDULbWwREI3GjvOx1a
cS3N0nfv0mlymvPsZk7wIB2pe9lyNv3lSjZ3znuzjyejWGSD8V1PY88g5iFTRZfqdnC4ksM9yGcd
hJR5BznJu+bSK+JqzNXvS3fy8vsK0KK47HYANxVEwVvVuE9Ly73XggGPOVYuYp8LNw0dae+72ml4
1n5mu3w/peCLsutfoOLSBU5tc11/M2VqaAP+0miFYbOo8H0IZuRkKhjIrJzJqEXqLbvz5UJdSeF2
TyJtpCqL5cT1Tm/OOph7MjSJz40D3oIyKNxg2lV4m+FCMvvHy5azeTpWsrkdzTOjj0oJsoNWu55S
CJGrIwBQdnVE95dFbfrSlShuFwEpAXzyAKJyadhJwIwhUwzyNDQs0BQdh/rTZXGivVv+vsqHjaVf
dmkOcYr5Vip3xdI3LXJmotVb/r6SoadIGiFJitWrI1wNd1m7D4wr9hfjNWhQQ+FPVtHPhZLXZzFN
q7YhS2TcQvl1Kjl1+REKQdk2ihQYNNFRD0NDI/5xMqq2LzNGENXp7YvCuqthKGtnmN9mqTlhEN3t
5/I1Vx6TvHi4vE+bgcNKMHfrRU2O31wChwgJPrOyixmOpPWtAX1RNAbRMNX/olqxVpW7gjKdRRNl
S6giY/B1JIYHTMbR7++UaukVkwV4d4tdfznefxTkL6Awl8OwX2KVuMWIQhe89xMGsS4vokgGd/nk
YDIwAWcMwFPsGl4GviVPsihltGntK0U4PzWlra51DYR0XQkwK1m3fcLc2VAQfhWiYGirwQYGuUxd
o4sPza7c+a2aSpnIhGWr4n0x76LiNvbf0OOtBY+tigTk9EL0QxffluGhERXztwBHPgnnDvYwtEUe
LaOwWuom+rVGTgF90QGrMFopCmrVUdEt1gtum83QCHjUikZkgsiS03iuSqMpIgjNpexlDDHdEEfO
QIhb6prVNBQkibEtZ5J32Xa2lV3J5ZQdm5CNdIk7Z7T4TBHKtDSwfDa5Y/EMbA5bmZ5zkIQV7FlP
RBkuoXDO73RNqhrABELokvToXTgV+Y2hf4BPyomMq87YVb4T1HtflB7ZtOWVzpzXkYI5MAFNDR9A
3CZmd1VHLd2vPMV4vry6m9fQShDnbGRdHuo2hKDQCA8THpNMyr0F3OWyGIE+v1+6q5sobvV4LPVF
zGj6VjWML6E6WxKq+0rXCd4poj37/feVsDDRUNevICwmv5TSHVXbDw4+yvnVAtw0eHLnjQ3Qj0XM
I9uBICa6dcwNUwC1cm6uyDKAQQWI5dt6sAIgJiVjgEkCacfUzFLrYk/SCf9fHzQ5djUstDQbDykG
4FLzeVJ/lll3uLzs/2Up/nwR5xPLGuOSU43p7768A/rE0J/7FPN+4ZUOqH1D3UmoldDWNQNBMLXV
5A0qjz+CucCtAYeMnjMsxVy91YG6aymxxpGe6aRhAsdwSymwlPiuzaarno2o2MkHPcwOqvygpuGV
qfuPFf0+sLe8IbbcEZhJeNUbKCQNJNy1hfKzSWs3CBKrKhTZ6hvUPhbEkKESEXdthoUrRbiwkFAz
0ScdiqT9bd8egvijQpuQJjvBOAl2a9vB/lkzzsHWftmb/vL2rAi4OB8af9zJ5Z3SnjW8KSQDZZfH
y+axffj/COQ8a1DLKdUGWEep+YAfMveNrGBEc3QvixFaIe9Ec0zI9v1yLrIz2DsqBjCbzApkNH8d
ksTOus4BKPSgCKsFi5V9jm108BPrAOXCGBtyu9yKlia6+YiMALiMjo0f7XztisLi8Xzp4u8J0lpj
bPf5ccycuustlC0Fin9dYMhXllFFtEvKBl9gkmivNihKIwCvAJvTIL/lJfK1FhHHr5iT6ZNtFLe1
DMrF3J6bex1I32l4lqd/j6j4+Tu464RgzL8LK3xH2M6lh+TKAPwRoNFqeX32iziygEg1eZeV39Qd
ZNvI1ck6ggbOAwwzSYJEVxGOmTeptg+qx0QEWb189pftRRss0zW8sGWeFq2fG5RBJwzi+LREjQD0
DjooTJiGoZyQOKZ/bDDXIrjJttRC+6m6sIgjfc/3EknEgEFpUGucbiggYbPJC8afl5fua7iMG2Ql
gzuXIzUD9M1reFCFNpNgNsL+K5EW3ImMpir1x2VzstDukaOfbqr09bISy0fym7NWgrO5DpkBU5Ig
wsjPktEBTMqlwbFt/nUO+fNacQHMgP1QlmNmj9VJHX8UGGjI7pgqKGls7wiaDJBlATQA5aRkEx2C
KcWOdGSw2sBLWsGWb6/WPwJ4iAo/mtgkJxBQTg91vdTVQ/+B9L7Aer9eMVgt0LUDII0B3Yvv2QoM
0AqZy2r5fQDASrS7w/HOpa//oHGXvwS6lPwAWWL7OPsxyNybNPEFr4hNRX9PPymyiqkrbiXzWBvk
QoOiJAgxJn7IZKsxEisTAZVuWrgOASDHQsrA4GKx0aiyqQG8JgbovrEewz0+AH3o3WUb/xocYDlX
QrjwioaGVLWLEC3dseh2Hh7S/hmXjtV1jWDnNi1wJYpzp0XgK+msQRTzjxRjm3mX2ZeV2bSNlYTl
C1ZhM7pwaSn1kDBor1m0H8FCON0o5VND91r8WgyCItqW81YwUQz/jRP1BSGhHZsaRH0mAqviMVeB
WIKR7zr8EZYfmvEtyg+XldtcvpU0XjkMHA4I/1HVmvZV+l0qBUmbzcXDNN+CogoxfH4qUZNgCHoJ
5ta/tMFRlW+SEqG1+WZorzFQ0oePy/psmvdC04yMG+Dy+Md43stTxuagteNeA5GiYjVljHZtUeAg
EsPdRLWRmdlQQkyqHzQTk4AqnILoSiWbm7NShruN5pgSNi3K1F5xA+SKQ/BND6xGx9Cfmz7rdm7T
m+v5h/pgOMMrwzhgbNdHIMZeXtKNlgScZlNjCwooQkZ+DlGt1BndcxFmBVKHXI1O9I2+YcR971vZ
MQGBo2s+SqVA6Lbqf2RyHoRJvRZWJgZvEaHS/pH8+26OzzpxbqNupViJffx+qB7rck/NJ1MEJ79t
I39U4I5WFpmDpDGIoOxG0g8BSywhjuLmrWEyXOZUXXLA3K3Rs2gGeQxkZNUCivOOjNOC29L8+zlo
HQNzcEuA/6LLPfnZB8pJN+LiWyb3egqXPif9Q+qzEDMgrCPfxyQs/v3A+meJnAHMlRpIQYaBqnx4
6csr2Xy6bNVbK7fWiDOAOVHKrCf4faXZl/2vQQWP+7TrM1GKd+sqJHjmQBZwWb50R06KEmOqCg5Q
Hh1lCC2d7Hv5wIYGgd/+skpbBrcWxRmcFOYgfKrgLkoVaZw5cdTwpWKR879JWb5idR1KPW2DuIUU
IOpkSm+jLEuBpfU3QoCtQhcQH/TLfBYyd8SkrbmoAqIXUGloAEcLRYPOmyaAUb3/F8JF4nWAZpwg
hJAIE0uzGjkUA6lJooBu/PGyOpuSDIxbYc5LpsA7/awOKZHVixUcH0NbeDHP8bj3ZbcXEVdtNMYg
dEX8ugD9gvj0d3J+tTdjMkUkQl7W7g3NrnTjOQYlrabOtYUJdwuMbfaUYbbZDzzaiLq+F+vi3zVr
2Zz1salViwGldJvks93p9e1sKoLXxlYwAeQHhisRuUSDBzgKwjnMYS9LW0eA+7bLe0drgFMbdyY6
pwrgk7a1nziE1UB4GzpBQWjreOEKhMEA9EWDw/28ib1BfGOOECoZIMhhASC3S3b0WfsXDwEVL6ll
Pg8YCDw0bpdKpoaQExGZ7xJMlwV94bRA5TIr77JRburzRxAPj1tNxRCWFIJUuQHhr1L77UOelYOM
xxxYMAUnets2V+K4KwSpyGLKCoTRNBotMI1aaSzv2YgINzVA5hLldmuiO3Y8d+UseiRsxdRIuGB8
BAkXgG9zW6fmiq+MEcPzDvkmzbwvyxDYjtUxTIijKT9awPRcXtstr4/eA0wAyXjOyfzsmGF2o9bm
i9fXh9qS2zAAuWCU70kF2NkeVaLq9X8TyJ8+RhO1rSHQTAskhX8FVLbiAkGi0Vu6Nr5clrZ11jGB
CSZW8K4BToYLO9CcVw1qh8eqNgIvlVHUDUT84ZsrCBwQ9KQZiD35s27Mcqxmi3UqZHRy6k56YtUY
ywfEfvtwWZvfURLvujADjNId4nTgCnKmKeONkKZNi2DwYO7bV3JSgX5nja/DTWIDQ4x8sMPgzTfU
espP9DzdTuc39N7uzb0BCBCM9bqXv2drddefw4U+1TDLc1jic5ZNHP0CReHnyxI24Cd0tJ/+0Zg7
EFGRqQRsyq2tevqNfwLkxG3rGHvjJrvq3iSnvypP1AJTDrTMjrnbikKVrQtxLZ8z15Y0FRrKIF8D
JmeaHll04xeSU6BUcVnTDeD2RVMGzheUo5f9/ey14xStnM2AiUoc01cJN2Ay5Q4dgZRF/V2a4Q3f
taDxw1QZhkjRE+LIRSdqHd30fQaa8oGaC2Q+FFw+f0TqK3OlNXhBxUl35evRIaPMiuvO6wiQENLA
6qfbOARUYfjjsvpbPn4tmAtxUIyv8J6D4DHIrS7a55hgbcfDZSFbm2nAuSoU6V+UFbgllkuzTihF
KC0Zu9kHesmO0e/6LPBwG50Fy50PqAlk6EABzUN3JN2gaR0QcWwluKUgosVUvR0l6b5XmkOftPtI
nx5o+YaxXXsOcoyJK1ckDwUTK5u6mohK0S0LDC8+4SlJhEhoPgZ+R5va6M6Ni8DKahfUg5fXdOvG
Mv7I4fOeYy43DB02sJg8vlej2K2U8tvsy05PAqusfkyRqF1vK7hiOASyhjESNDhzPl2bM8xPjEAp
8CMVjCnqnO3rAsnBePRvVbU4jUMf2qSQfJsoRETQtOXt0RC/kGIsiUP+ggYdRhPXE2AYVP17PNz2
2c95sMfGG//9HOkyWqCCQstAF7DKp1kxtiAFCYHjoeylbA5x/NZEH0n51skfItiMjfIeZGnAutHR
HIwnCudk4yHvJlz/WFGklLvem1DTGjwlPCu6xxSPETAnkRciyldu5mvWcjnnOiZgYpKBxWbLmvdj
tO+kfVN77Nu99MxqN2rc+lngZTZ3Twe+xTLviX+ce6NzimrMMinPUgzm6kdNtlTlXY6fQhHq4tbx
YytJnD9L9aFg0SIJ7x8LRHal/D4ktibCHN/0NWs53GEIRkMd2SInb9Epq+x7K7XyK/WuRfrNqW4r
39YfLx94gWa/r5DV080f4v9bw2iZxcfEbPFSJCCayu4vy9mYooRVIhUBNh9gzBE+mzc3RgFk5hFX
747ayl559AobVGHsrHwLHmY73lW3APMYrPntsuCtq2gtl4tq2oV0vmADrLL5HvQHQMgFpndZBFl+
gw/k1jK4E9fLqVokEmT0Xkos8gwOcWc8sEPj+A/FozI4ua0CKk93gvfUvsb8gf036Z71F3BnL40N
SZVSrO5MyG0yyx4Ar2yKho6Z3fZVfRAoLFpU7uqddKOd6AiFjQe6K1zlQwJdNWhHgxuMVUyDozip
E+2Qb+qsebK012A3X2F49iN8Zp4oMfRfVn8J2AGxiUl9bvXbyAjoHMKJyzvdK3b+7pDZVLEMT7mp
7Aagbq7mNEf1p3LArHO+i3f0if7FGx1AVP98Arf84+yDeFLHtdnFV+h+JfTARKDdmwcVPEpw67IG
GkbO2WWNplRysWhZ/ujqX6bWgy7ngfa/Lm/tpk9dieE8XTJWJXq6IQbN3U3/HdARfnEqyAj2c2F4
ui0LqKAm5reBCsRZUTIn4xz6kBWAbiDtUOmkaLR5bwPdpgOaBuhgI1GBd2Xys6WRY0z9ydQbZ661
kxQzT0pvxyAR+MPNmBmW9M9HLfuwcohak/l+L1e4VEDq3IEXQcpsczpMINumr3O1Z/KNKsrTLebx
xX8ACkpFLycWg29elWtzKlSCmzNj8l2S0Qec578I7DCi+48ITi01TKRxqhAUkFx169gelJ2cYKIm
OEzSVZiL/NGmg1iJ46y16cxWChcEIxUZl6HHPHeKRCDI1f7CWldiOGsdaKmMnY+Fo4myDxqviGUH
2RFbGp1SNMi4qRKSOPAyiDTN33ieK8MIEIfGfQnDUBpAoVbU0lr3bwjiwHKAzDxAwTSCuJhbOJrX
aYuoFLU35VeoOg0ycarmRb4tATc3i+2QAtVlf3kVt8zPVJZyDubxlC99ksY80orp2KwyAwZjrd6k
Qy1wkFveay2Cu4WlCuC6VQS1pAgp0/CcxlYOaCe1fLqsypZLWcvh7oKoAl4XGOYQQKGJgTXnvHHn
MbfCwm1FTJ0iUZzPr0ihJI0GUQnJHaAClzXBGK9dt8c0+ris1WZFdq0W5ynrPKFABMbzQdp3k9US
i53ag+aaNjmX16BHdFIrsRV33l2xc3j/FNtPgSN6qC1niXdS62/gPEhWd0Mnt4tldrmb5e4wF97Q
mZauXEsBGiJ/XNZ567itxXEHoQLoxlQwiAPa+qO0IO8AORTIEIPIVW2aJoBBkRdScAj4JIkyVLMq
dYi5tcqb1WOpnVjwPousZXP1VlI4T2WaUZqRDvmgKNsNrN9LEghy/euxydyS3QZCzPHlpfBlt1by
uJdEXmE8wO+hFbD/2C8D2YJX1ZHv1BcwkQa9VQa29Dw58p7cVF7r+afg4S+2D2kvY2krAsYQZ7G9
ClbzcIK+EqoWCWCaIs2mIjq/Tce1EsKZZDDRUPq9qH4ROTJ5iYBTfFmNzTweCG6ogenTpXWNcyhz
An6S0V9eZNK5Km7zAO3T6FP9iLQfdX+mQMcrT4G0S+THy4I3zX8ll/MuPlHmJFxOfDMHoBJBAddA
RCR6lW1ayUoKt0tS3Wf9jISsXeU3WvFTm46kyyzwIQVlDmi01C3ot8t6bZ62lURuy8airMy8XOyi
uTLjt6g/Bc2bLrqrN6QANRR9CWh1BeI9Xwfp5VKeWwIppS/ZsaF66VBYCTv3SiR4Cm0MuULEShS3
UUEC0iUjx1NoBHr4g9Jb8z46zTvppN3WtZUdAnu6Nt8UQbVuw50shCuY80Ntf8Em+xyllo3UqcGA
pCSQpxjKSGDInrvQ0pSFkdcFQ+/lXduwxk/iOCVbdUiNIYG4khwz6V6J94p0f1mEIlKJs0V0uw2s
WvKstX4/YNKmdrL+1KUOkEqRG3SV/lereTW7ltld3V/r+W0TnZvA6eDYQsHqbj0poS/GyVAOxXAj
n1pWGlmX5gGF89IJbtQz6KUeinfNvo+O/bHdh/edl4Ege58cc1RnrsKnRsSstRFcfPoA7pjkPsi8
9AQfMPqeP3pl6ITmW2/elKGoUiHUlbto60qO0kiHKDVwMDwHPKnA0n6E3s/k+BF78UuhONEhuAV1
+7Gzosdy9y5KjoqU5e5Gxgq0h5rY+S5zBs3RgsaqMzcKvqnx82UjE0nibsXUKKY2p9BVm+zev67S
qym9b6YHPxJdHMuJ4O7f9QbyY5xoJFC1uIakmoDk/lubCALqrSyvAjZnDU8FnSF251RptJL42sKS
AIIU3T9jmmFMvUr15vx6Gh0ohx4Te9Z0wYWobRxTYKjjUADJV0E7L1e0DIOmKVNUmYE4rTo1/Bvo
uVF6iVsA4w5uynwrTuzApPusvA76kxReAxVq0q+pejPor3S4i/LIIhMQqoNd4jtx0buouw/ydTJ7
Q+EYM14+qjVph5j5150P5GI2uj2aD1HXtpvxuQeuS9u+k26potkG2IPK5Hqqz0Yre2OIOjRaF8Ak
LPKAG5ZDgJ2uANkOoQDhbxQkZIpCmnXEAfCAAdh3ALiR2CbKd7pown9rhdeiOGdbDOByTckiKjqC
+qYJbXWIrQicAIFDS4Fn3xSG6VGqYIaUYETs80USzAPwCFUIS3vTAvikJwP4tVVepeFYdDdx2XqX
T+DGzbwI+kce59i6ZsojvEHxapKeZQPIvuQxaKg3d+5lOSK9OK8GLk21bOiil45+UYACMvJR6Dt1
DnelwQ5MCCG1IVBVMHYPiCU8W76gT0okZD7guDtbAeBqUB6i+dsEaoG8OkeKK2Ih31hFdKcxhqKV
DqRO/vrPcqOazcAEqL3u21P5NPkzMgPekAusY+Pe/ySHM8VSUUOtkY3Ozs3zmJxS5TESUQZsOMpP
IjgDVGfVjNQK69b6mk3UwaZ/MXqgIgYE/BQypygWc6ZAZpUGeYjF0sLupc1npy/D+zwWxAybeqyk
LPaxSg/1CpNoJENKAv+mtiCNEY1XbW7GSgLn8WMpNEk5Q0KV/SwrVwWupII06eVzIxDCk+9oeqEG
OCCdPaLxpdUPA9PgeQXd+YK14hmpWFb1hlZAE7nTz2FPHHAAOJf12Ko3rXddJZ/3o64xcoyKXgcU
jPkU0aM+JfYAQMl2Up0yyo9Lq1keDniMyxZmRlDozm1M0TthD9DJQd75w0ObiOoEyxZxUcGnj+LC
9ryP89aUsLpZ98SKh2q6CYLrtLlGVUpJ3L67u7wIm27ij8X8plNc2WTsy30ek8Umo2HXRyA3il5A
K+ongqEv0X5yZ7jrTdaU5nKGk/i2q6vrLH+8rIlIAndtFFVgslGGBAzD+PmOtIrA7rfy/p+2hvMS
NEpncJVhrVJdfmRxHFtsHpjVmdPt2EuumTBvjAqrbe5NjDlf1k4onHMeYTArOht8HAj5MfNrdALb
VXfO5lsws42xaQ/SdS4RgdRNY0TWC1c/ag5fqg5NzWigSWFvZ/BYfu5GGsa50fQ8Yjjwnd7LfzFT
p4K3E8DvaDAlX9gR2ag1Jfh7e0yg9r+yungckQvrlNyR0YwpWFCycdDWsrgFHVpGsiqJels5Npgm
DqzkWL4bJ//hidzXH4VgdmoDaQAtXivVONfMfMDLKTnE9R/yTfRsPCQ308/KtMprY7JV19EPz/pd
IHJx8mUl9eXvq+NdGiQFPwqk4nXqDr/6zNJP2iFMrRAQKwJhW65kpeEXUE6lLOR8hCwUOp08ruwZ
LW3xPdN2l3du6/5Zy1k2dqVTqMdp0saQk6nmgabadQh4uWESJYhEYjhH3ClhrWbtIkaXbTZcxciu
ibL2W90ca6vQF6e20gUjpMbULUKkPYoRu/o1fsyPipNfF6/aQ0ytSOCGN++89eJxfhiTVHKfLJvU
5M/BO+h+v7VOY0luhI7KVrekn+U1eezRlX+XPv9v28b5Z/jNtI5qSFbVj4E9E7WxKvnpsgyhepyL
7qdEkeTFNuhJRXfTN8Vqr6OrBbZ5gErF63w13iYOWFnIjome2wKHonMOBbc2DccKslEXrzJLOWso
xFt0Ycdw32S0FRiCGGmjnWrpSwMFHwYKQYDKT7b7Eya5ylZBs3MZ4W1/ztKrJAZ3mEOyxonih6k6
5f6+63bV5EjVTZwITuJGhmH5AMAuYuoAhWm+r2IeAXqT5ui2NtFLnvSpk5XgzkaPFSiXfTCmHqaQ
ghPFzUSIk4qxrObnOOmzaO7kFCxAu5WBueiEXgcGapIZYHL3yXAAd7ZknrPiWFevhbqrjWdTt3rM
z0iFq8o/FeWd4o2iW/KY3KE91DID2VWBjzmcWOXv5z6xjfIRWRKQD2RF7ZhooGzK3mrrb8BfsNv2
HMygzCj3KglRoDz0WuOBgmVqjs2coFDzjc2SK7Ua0AY8hezj2S2zg15dFVLuVsMhl3Z+fKD5bLXZ
YWZAit/V/UMynnwVOH25FcSBk+U/gug6AIIlRVSRFY4536bxOScYA/LA/l6W+zE/x+BXnDy5Rbya
PwP0Tvb3sbFn5nNR3gHeDZQG1+l0B/gaQ0kcVu+N6oG1XpaoVtkfdXoVB3e0OEr9U2i8mCj4z8ek
vi5AelclB6O4z5Jd3rz7wyPqJrn5YPT7glrGtANndY7zI/cAU4s+Gg0AFedh9jCD4kaAJMle5eat
MCLAXPugWHATegpBYac85fGDVLyrEwhzfGBZgIKMBliuCTU17aqRHDP6IIVua8GbPN2A/kAqI7tD
IYX08T5jHszPjosnv9oD33Zuf7WVHZtH2T8jjdU3Tyz5PgDBBzhafbUsyDU4r3NztJPeCzS3kZuD
hKGKFriHOjmn6mDJBdux5BXdQl4WucDPFd33X0OnZSR1oXbRZJSF+HHfTA/8Wg+7pRnHVg7GofZa
p3MjKz02Vitb8q16ApStCwt7kAMMyAoc4YZ4ilyUZpoKaHXBhP75YqlSvejqpU0wPmI01h7sxM7P
tWz51ssDBWFnfvWBwtFL41YCxTcoNFF1WEnmDiYtJmrUuNR+twdhUOiqsuYXUJdmCF3te8M1TqXb
HKd9eDCc0ol3oK0FNI8jugk2/MOnz+AuurBvijYY8BnEBtIYRPsO3cEZD17x+gTsd8t0jGNivZo/
Lq/81yjos/rcNQdyIsBCGKiXAUgqzL6VQAMrS6tTRfot38/5v0/6cTednGRATtJRv8qs7Eaz1evQ
S6Bn5fS71vWvm31ni1JKG4Wsz7pxN1wWqsRsGdY0ewYD1yH3KlAcu8g/Ou/t6Sbd6bYIckCkJRc1
pypwdn737xrmlarv/PFGlfaXN2zrFl2tpClzMXI4lRhRqpejQoPvsr6f5fxQAvu1Gd5RcXLMdHxv
B2IZSQhYY4bxGoykDVF/t8xjXv6UDQ689QJ/QfI2zZSU5lKSRzB4Z4IkxssPsZPc+M73ZDc68z1u
NQtlFqvxmNXbg4duf+dKj62Hyx/yxYhNFd3haMZVMU2A5nfu8AxSOKUy8RFGTbVHWGVXcK6NcSLT
/WVBX/YXgjAYitYKCkg7DMB9dlNmOqclBWETEm+AK6c5aIZclXiXhXzdYU4KdyZJr87p2EAKQFWB
7T0jPrOKGEi/6L09qHYOflkUrzKBJxTpxp3QvBwyI6jiAfOfd238WOreIMK0XH7ikxPgFOMOJDKW
UiN3UEyKZfmQJlX2QiSVxgBanIqT0cXpL6mLR0Eec8s6MLpkYNwecNuMf+glMdpk+jkdUA7cyQ2G
wMjzUF8T9VWwbSI5S8C9ehzNGgGU8IQFNBHXOcro0V1wRd4ACRgc2UN+X17rp+Sg242oE/Lrs2xZ
VwKONFRx9AXy5LPkwJjNwYwScEsccOoOhmy91FbvqjvMZbjLvJItUHW5jr9s5Eogt5FdUHVR3UEg
PbXHCJnhnWnrd8a3wRt34RW7EaYjviQGOA05xyrpUz4YIQRWujc6hd1bRAFdva15OUg1BH7ta+H+
s7Tfya3VTnZ5WvQAS8LgjKOc2a7/KFKrmVxiL++zeUfPDQKj0G7fYU3TXnRvbR5EvAUA+YrGyS9T
YJNSFDmZswGNVWhp7ffDksXSqUjJTXNVwQKqLaOhGl9EoC0zShPLimCr+wXqDJu60rG6Kr/7t4Zb
Ix1yk90GXivi2N02VjAioXSxhHo8/UPH5i6gDHJRWPrQ7tBY7/lO+p08zrZuV+fuu8BWl2P3xVZX
8pa/rzZTl0jahmEx2AZBJ0sLsk1LtaMd5hOdQbY6vP4EK/u1/2Axn5VELpg1Oj+lmQQN2bdgsirk
qT0gcfZW7FFHmazmPDnGTjpgQGT/a7SNb+WVdIwFE/5L2PpFa2BlKwCcwUrzPYB1WjasUBdnlB41
5Rfrfl5e1m0lVwI4F4DOsgFgpPDl7UjR5V1YlRbbsczu8w7tqV1pot8Fpfwac2+ThhR0CMo0FLmH
cB+UsQ3wAYtQ3zLn6jyUwyFhqqUM/+HuSprbRrL0X0H40t0RIxYBElwmuipCoqjFWqwSZTval4ok
mSbTBAEaiySqYyLmMj9izn2qQ9/mODf/k/kl8z0AKSMBmJSUOWOWeagoSvLLzJcv376Eo557C1ff
nthmYFTVfLqTwnZLDOR20Vt8bjok3TqnnQ93DPPOOkfz0erkenUQnfQmy6OHu8NPr1uv7wd25/B+
sD4cPTsDRt1Cv6S4tfba96HnAmPLh9PPzQ97ya89Mej33vuosNl8ObWXDwcLhkriXVdmMX+6dT+L
TxH41wNiXf7D6vL+vnm8eYmqg5hOg84RaPOGQly3VyLye78L85Q4Mnp5uygnv0wuj9wztKFd/y0+
mN24r2O00B+Io/Bo88K1bKuwbsle+/RbuGhhfgcIWzin7dXDOaLU6Pa5Hs7nk80r1WPx6wlLyh5G
SrgP8Qwr9frvhXjXFsPN8OmFlJ8oslyQ8oLkASitpbyTbrSao6XXZ5DkzD2O4PT47ap/f33nH9u+
d7nclu5Rd5riaiU2uOysHuaRh9XW/ffJ7CiIt+U8bVugRBCdrnDvbVqg0xtRK4jbk83oqlMeqXMW
ojsuEnXK7TxsZ41uf7fhHVqyjCP3MIiPI3GEapb+bLB5oVr9u7BSr/RQg3uU1XYXWEm0mrcDfz6H
x3nx6WI5m2JUzNHMaSG51IsP/dv++zvhow7Oj981b1HN4PaCy9+8aAvFVzN28dTQ5LSN6cLIM630
S8EEo8+tWx/7WXy0D+z+YYykouggOL9EkhIcInFziyVQ98T6PSQAYTJUHxk0JXWyLVrotvU5uhvM
fksw7+N81VqiumYYRIcpon+a3P/rjAdXGa1Hv/wV3yfBCmGUGfp8q19/ebPivnXlsQmP/kr/8PEP
S393zINLtqz+kfJvADxfHBY8U74M/VjE618THq6veZR48ebfZtvEKQjQVSD8+CaogHjSH6Xn+CYg
i6f7ulmv+M+vJkHix7S/mQj8V/mvTqc/v8IF/VSBk55l07/3GI6cTAG4bTdQDk5jvlCNnn5eWV7g
z/Jf2/0G/bCDbgDZb8GpsF4Bld/CQGVTNVja/DebDpDhhhCQNvfVQ0Gv0aUZNq0uGJ96duqp2Gkh
5zj9gAvv1tmpp7Te0dsN+IUxUbbderzeIga6DRd3jx6P4Oi7dXRsSvfs/QamwPecNvLX0g9Iu3D2
TqPZhxkLJTm7fDJGdgwFZJzqXX+r4TrUgr1HPSHwwRkLKLCdBpJe8UEXjvSzeyjI6DKTKo/8+Dns
DxTeg1ekSeRUPHq7gf6mKJBCGt1uHh1lmbq332mgBgzZzagkTz9Qy1QUIDcVMX3wv+yzaw+gk9Hj
y2/fdRvIzengmPAN00cVAD3IPhtlERRy2q2n71C6gN7TbzZa8MojNTm/XJX77YEzQJWGSr2z7I/6
bWmhwG02OnjjMP27GQ5UFtBu4PQY1onE4+yzc1RAPQS0MNB2Gp0mpiT0qBFR4ek7boPGEWMqeaZe
7pK619QWem6jhYB2u42+35KvFc5uu40OiqDAXjPs7tLZSQ/XvXK7gR5pqH9Ar/2a0zt2A119euj/
9VUj2C3WR1NRtYi+1W6ggghdIzGMN/2oYq/VguR30TchU31SnWi3MGBTQy0tFLS7DfjmumBttZwP
Rh+CYs0+unk+0shuoYDGPGphoNNqgLlB/8folvSjSn4wwL7TpIST7Le7p/x3tXk/zB9YfSgSySW8
+gzABpFcSfpBjoLd0/0p9qZHBMQJ2nBtUICrIAL27F7DRnMl9GKX2lG60g6JApTnaR7e7TdQ50/z
SXIxqCqAdhumIVVbdtFkKv3sGgrS9gRa999yGz00urR73VzYlZ5Au0E5qaiC3DnNr6dt93Ya0O4w
maxE+k6jjXgN3CKS82eiZocoH+26NSm/BcpH+AutqkvPvtvo4xc4eu4MI+/2jsk9XZbnwteJdBDI
vZytV+ReC4Wd6DKzqzZ/X5fyXTi8qdUOhmRmfE0lAht2Maa5oQlurhjsnNzr65oALfJrYNZSrw/r
riD2oPsDLbANejnLzxbaobff0T266zQwOM/uo4lyndq3Bw6ARuhuH8SRfXbu9uGV1GR/bqcB4w6F
1N+wANvgEMQgqERit7gfeglrnr2Ns2NMTOr5Si9Ylfi9BnUr7rSRC/jIG3YLBWgpq4kC+DwRMsYE
7zbaiNNHRYHTwvXv2sVj6KHuqR3Ye+gegA7R2c2q2i58PpB40IbzSB8hZbcuHr4KTRS0YdNiQj3S
fnIUqILPgb8TjB+OoV21edDaXxMFsHn6NgIajxEtPKaCAITs77YgFXMJu0OCz+5rP3s8ALR5Rag3
D2ipih9cPjYlyku5uHsOD9RRa95+GzE9xLph731Vbgu37zQR8kA2AdJaMsaYrbdDVOBoM/92H459
ODXQueVRwBVQ0LIbQHOvZSO7OP3snAaIPrGaVOC2Guhzho6z0shTJcGeAyrAvJ12M38nFBN8qih4
Aq08JgYN5sKbpnlDgkeF5KOtfyCTZqoACmlBcF+BWJQ/pUSiDPjXxKJflLyiNK2n8EvKzip8Vf42
S8kq/FbmBKXbytfK8VHdqbKxIeU5AQnyhyeChyyczNfpL9b5qSjF6+dX+96Y+YKVMqC+bqOSKYWr
y+LDG6H60yAMFaigCm2oSRSH6l4pn1AX7AH3ZiJZSkCUA0XOQG2wQQTEWsyfWic8fOCz4Fb4Ckoo
IKa9CvdYmEQSULp5uJi0wSbejJVwTdFRXbiH3F+ycCEBpQl3BnB9GgIN/lQBa4DghlEclB4HzbTR
RcLggU/mKh2TiaAL9kj4ZSSQgqcNloUBt04jgq3QGQ3h0AYeMn/CJRwiB/LE6kI9FuOQeTELJSgC
TDUA2oCR0+pHfC0hpXAhz7Th8nDJfBWsCTyEnKvYJU1cd7ODMEC2q8LJkCytD/ck8cFzFCSkkVnd
/Z5OKswBITr9/Z7GzFN3S8kEurt9zcMSgcG9YgAs860LtuZKrnOakqG74XMW35aogVxq2mBFPE/K
qknqrdGFPEJFIVuUt2wAx+cCfD3mfhRzoeKZqqR1t32e3PPlGK0ZZhIWcZ80bVcX9EXgTYETBa5r
gK1dBD6bBCpYA0/kgni7ApUaq+si4ZLHcx5WpFzqKtOGHYR3TOUVJkQzyj5KWk/q19Dd7VUQxgmG
SUmcpnRGUUJdwNcBpJz68FI3nC5cetG8DJjSebUBp1wzFL5CxHD5GQC9YiqTSFNQtTd8y2DQhYom
jH65BrZ7x6eq8EgzJrT3eyfih+zVyT0StaWBCV3YbxchUKwol6nDRxuuL2I+tc6EP5sGqtlIzhRd
8O+gXE1AdxjgrnCMtGu0LnBwZAgoPgtVgjZh1Yx4OC69bfIw6u4Yhge3go9QXlSR6trUIkUX+iVY
3RywJ3xatvQQ1DShz50FUXCrYBs58G3EivU3/+U/iP3XmWZIRIPXETEpjGRyMcKivX25OtfSY11a
1eEkC/syX9Dzf5/fHD12BA9Bf9KtlIL6hmsNfi0fN77FrRZMOPO3/M1OuN4+hnjokgwIEwimya+y
SjE/csFHu9nvBqN3QvxDwkllN9zz8vsL4Uall42mr3oQh0kYrBTenHlYSy/6ecfPXvP+kpcRiwbe
VW/F82Dvk/OReSU8dJvVl/U8uCNM5p5bNXtu2S3KJ1E53PNgv6GXoO4YU8XT8fRtFKOg6QlKkSou
ouetcYWi3VmZd1KJvUszhNtoWo95kE3KDFNPknwtv42eSN2gGVYiRMqsx0y2PgS7Q3EoFF8aWOgA
BoaYWKOYxRybyzaePlBMQEQ0EzFPnA+Fjn2a7aJ9rgseBasgZkv1qpBJ6vYx7haZZYjUohF3lYRf
gMQLNpuHfCy3nZ6qRUX2IAdM0MY8ZNuhYKX2qQbwH4/HIEDrG5YVqt77NKiwj4mIXaSFIoVq67Lf
T0plLOQpUqpwKX8AKTRgPpsq4qJVYe2FEz3xqR7D81jxRpswIS/4vSi5FDoVLvn8/Y5gKcTWFQJl
IU9DNhfic8IRyZUUSe8ErUPkVylGn7/S28x6qPIWp23AqhxwsFXm1ckTB7Kqol4U9v9ULvz4riUu
UhUDaU8o7t1kaGbwv+MDJp3lx3u/+x9ncwj5KFbto02s9IlveB+G+ZiJTyrgTQLvqYDDZdlbs0k9
eCLUA+bPPDbl0bxImCZ85xdrRlFLBayJDaPFr4pbGrGBBwzD/+X85QADVLmQcOht0hRgXagDBtfz
VNVPTHj5R6Gwzpm/UARQ1QoqsKknUgPMSDXYbsIFf4I+LtYZ/We0fy2RmrE/Azd3iqQJn5cUXEyV
lQu9nCYAWb06mzoF6tLEa7ZSyRdFsPpQMW1ttn4oszOUj+qDzszDsyDkCrnZNEFIFxmZGVcD2wBh
nLEHtphXUWLgXZ+zAHI5O3xKyC0j8ZkJCypPhHqu6WIZ7stZULLB0aHMAGDmTcWtauyh1Z4RwGxd
ftMdAzd3yVelCA3NQdBF8BUL4Qv16nyKds8I/EVFVUF5lIGNI/tPrDB6S73DzabsE2XJCJ5+tgLb
kNukl4LkX/n15Yz5Zs5EOYTnUAWh7j3esE+iimkM/TMBWtypfB/lbwbAJuGC1MIym3NMcKS3D2Ne
gw7qUaSL6XeCxz5Tw0AmWN0buBuDW+s0TsJkZf1kDeMgDOIkf5ly3ynPRl2xgYPkC54lPovmIsSS
8n9F3aKYY2pAhxitQhZ76zp+Q6PFTIgMMZ0igjRkUVxEWru7GTqk4pMyXXOsjeZiAQ+eD6w9/m+W
MldcFH54OPIMuFeQAcHWDBcUCu9//v0/owV9Ow7X8ORgBydsjEC7vDVFvsMH0GlRExpdsr8RmHCz
d86R6yKBES1SCxh0ApE/ejlnHHEYBQtJ7tFPh4IFmAyCU/2a+FOmBtRQeIwe3vqLHgaLaQAE3rAF
zEixVNRE1DDC6Wvg8s4YGrYLJQeWmuJ1UCipf4QrtueJvQnSS/eiKJHwUjaRrWHg7kewtGsgG+BB
52wVz0tqTbbtrYLr+zmWMlai61kq7p+eDbL3iz8akltAFjYoa8nfyB9uig8esDnlRCiXZ+DaMCS4
lINu4p0cw+xBDCYUK2W/VD+iy71OkXYsoaRvg1puawONQsbVpCnqKqcNNmSfJZR0ryaKE14H4bSE
AhPpFGfJHROKnLVbBjB7zlGkovriERyVSHm5kHmDdDQJJUVtxwAH/hUBUcVXiOowucjLtzpiyVRY
+yEr59hsDHg+UYkZoV+0IuswY11/y3mkg/ZsDZcCil7JNnMMYPs9NBALrl9FnCJwqr/9v3GYIxIM
UQcKeeXXl9/jZWCB6P4UWWWzD2k6+tCPKSHUGiXjKewoJEEoTxGt702w5ZvEH9fp69TaCp3iDeBo
f5xYF0mkUGQO3QCO/n49HA2v3w0P/80i4kFBh1Whf4TeMTGlRe0qUcaO1obtrdymTlhvEOEG86co
a0gK/wEVQebqw4Ziwz9AXHrfmyGNR6EBA+xin/yHCtCtF7u92vEgiDHwTQ032Cbgwh2icqCtWvAT
Ngt/AsIBktcQYzPhYRnM2bQIkyqrdTWfa75Kxh4ScZD+idx8a0DeXwmWNt42YfPxZTCBbMIy29cz
QIGIpPEQU6WUcxgglkEAg1x15tNIb907eEwoSJMV/UccSch0DSak7YCtuPWOh1PFnbAxbeyJys3h
J4GqmVih+I4BOTKcrVeKfDXh1R9+ThgcfQIpHMcJnNkKq+oYIJNhKOJS/MtElvYwnotgpbJrEx6Z
Gzz7Y8SeVcg9AzbFMZxkyiOksV26r+UYqRjKlVWzQ5OveY9PJOAqIaDBqP5eB1/+K+bW9E+nt4FQ
QxtoYq8P/oz7awUVNSnDz8fFuRiXtQL039HfLRyZQTxXhAuS9A3AFeMSFtoGZPgF/LwzFk1KduZ2
JXW7eoAa0SBWfbro8aKPCPJY3yk8GL2AjYAtATXwii8gSCelJEMTltMFg78+Fkkkz03CE+2A5deX
W5UZ5HKut21CzF0ED8R/kQ0pt5nt2gAZXwqo+ApUEyIjharKC3Tmlsu8HMcZG947EFHEEgkuxUU1
Tf/5jO36y++JXxpFhaaacp2Xb/saloma3+s0DaixI76ezLnnlVw6JvoA5BURleoY9A/XRwfiSrxU
2uqYaAYwotRhZp1zpHDJXRJxOCYyrUYI55WyXhwTHutRUnICIwlfbv7lFHcTqFaa0zIgoEdf/hFY
N8Hyy+9pevZV+OWf/kSoFUROy4CggntLlPJ1UD9nACvMfygzaLTM0gf8dlZ54CYyMw+Qj4EUSusI
g5XlJlOCNpFIid5ToqTTOybSuIbww6BGUFEJHBMC9kPFBklHQ+raCx/EcszGdyrHMBGEyHho9X1T
30/dTR8gOeQGypwS6oKzVB/y/nitpi53kbGE1M8+euyhGheMers99f38sFmBha4ntrh/4sH/N3Fg
7okHleoMsLhBgOQt67pUfWrkXXvWiHm3DF3lJJURL6L5krrUfAyHC4d4VWzVar3s8zU6JItPqWBR
bjFVFU1UEF0CwSGbJcqO7Y21PU/0NFzBe6Emvdj9rSguEuwwz1L4/wl8oBTzh6zo8euKuDFASFLS
t1Sz73gTsvzrD8H99sNkrD6ebZjd7jfZB+XjSabK6QELx9CsJdBUa5JfvnV3T1lhlghP5VMmcpBp
t2CsKp8yYHiS6xb5RmAoCmgTmQUDtkYQvS4IbSKjd1CiDhN+qsNgCbVUbctgIn9Wwq0PzJgoYEAl
b7lA2ESMH2J3ivraRLXgTHhSTpCBpBgAtol81Neg49L92SbyVy5YSAZL2b1mInRHvX4i8kooUSrb
RLTuCn0w44BUPdU2NJHDkpVin4k4jlJueslvhcpBTGS7Z6ucJxPVU4jhVPqc+gYNw8SUTdPt3wRj
9MeQQFNZYKLv7w3M8ww/A9BlENUxQ8wlkOu+XOxkiHon0KYVFfLUb4hC8RlXqFTbmAhuHJCPPJpb
70Q4E7VMHsk5+ud6O9q4wla1d7vAPkD3w1JkzTFhsQxgVaDATqIgJSkTjvMRU7Uip2vAJkTtVGwN
0TsHfhk18OGYcMpn1AkVJp5/+d3jy3URK64Zxy4OcMGwgpoNSHNtDMSasgNkUsD68xHykif8L8VD
tNAbZYc1f3J6/JBGGEi20u7JREtJFCF/DLxFzq+LN40JUQ56aPQ7HTSI6/XQsmorfX0/iy/rTqVr
7oGJfvXfqLMTvtc8hHBGO1KzOEzUoR2gbrnUJ9lExv1ByB5UT6yJaAulkSruQRO5EIPAC8qZPCYq
JYcT2BKqY9BES6AjGD6TOaVhlXJ6TPjQj5i3oAzwOrWta0BrO07Qs0TxQKDETDIbDWUQCQxwESqk
gcHX+oCp7hzuE0V82z3XAGAeJhJK6oHdzlS3a3Zvw6S8WQy/lsu8HL3vEJx+QNsp5eLQIG0b5O8n
BuraCf6AQiHrKIlCAbYMlMsxoWEeYPhD2V1owMAZEbsNag0oE81UBgFZnX8+4wgl+bO/1DEyE9Zg
2rOFajSgIhMjrlvHRKv6QRBInUxxNrgG/AFH4pOQT5h4kIlGHUdox00VVdO8S2XaIllMwmoHoY1N
2Z4YGMplIfrNrysdikwEnnL4adSaLpskIzzqWS9bahBVmjxjQDDAAak0bTBRpHfC0Xo9p9D0DBeT
QzgBPPkzhbLQ71YSxcslxhkqyccwrSWkVMSZSIMZzEOUkMF3nx9HXcDAzi/5nTVgXk3fbRPNyC9F
KV/RRJL7O+YjWKyqEyZ8JJfIC1WhmnizhOAPHIFtdS4W+oLLu3w52V2JeALfVq1wQRdeAwuwFYJp
dISa7HczfRK8chanAaKGkIrQv6C+f5KJpILMXXTCPQRl/sXaj+CUjZA1mnma6cUiLIYeIIPEnyt6
Cpoj61/KTbCAbqpQKsabmoCL/koSTOrONNGR7SbBLIzSZg1Q5ntcr8g870dJjGY5ysZNxAorSqZj
Ivl8QO2xKGojH21x3y6cjN0uujFjTjcqbduuiek0ef33KO2ibV1giEpovUnQ7Qf6Yq0a16UOK00U
3vbgBUN/8u31Tt/R8KnpcK5r+BRPQ7x5c+pX8a9l3k1h7KmymWf9Pk+poodY115dAZxvc4Mfr1Jq
XNz39lNmxnha1iwPITewqdHJMQ8QPVLepon2dddJVM4NNhFcvvny30i2XfPik0S/cfn1W3K6iMmv
yKn7qWm66Nb0wZfX8tIS9OK+t9NF8a/l2Y2fsqYB/w94ypru/z/eKeuGDezYKbeQdC4NJh6MzF/+
FwAA//8=</cx:binary>
              </cx:geoCache>
            </cx:geography>
          </cx:layoutPr>
          <cx:valueColors>
            <cx:minColor>
              <a:srgbClr val="F8696B"/>
            </cx:minColor>
            <cx:midColor>
              <a:srgbClr val="FFEB84"/>
            </cx:midColor>
            <cx:maxColor>
              <a:srgbClr val="63BE7B"/>
            </cx:maxColor>
          </cx:valueColors>
          <cx:valueColorPositions count="3"/>
        </cx:series>
      </cx:plotAreaRegion>
    </cx:plotArea>
    <cx:legend pos="b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de-DE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plotArea>
      <cx:plotAreaRegion>
        <cx:plotSurface>
          <cx:spPr>
            <a:gradFill>
              <a:gsLst>
                <a:gs pos="0">
                  <a:schemeClr val="bg1"/>
                </a:gs>
                <a:gs pos="100000">
                  <a:schemeClr val="bg1">
                    <a:lumMod val="95000"/>
                  </a:schemeClr>
                </a:gs>
              </a:gsLst>
              <a:lin ang="5400000" scaled="1"/>
            </a:gradFill>
          </cx:spPr>
        </cx:plotSurface>
        <cx:series layoutId="boxWhisker" uniqueId="{A08CEBB0-3643-4D3A-9396-B2A6C544540C}">
          <cx:tx>
            <cx:txData>
              <cx:f>_xlchart.v1.6</cx:f>
              <cx:v>HDI [0-1]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  <a:ln w="12700">
              <a:solidFill>
                <a:schemeClr val="accent4">
                  <a:lumMod val="75000"/>
                </a:schemeClr>
              </a:solidFill>
            </a:ln>
          </cx:spPr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plotArea>
      <cx:plotAreaRegion>
        <cx:plotSurface>
          <cx:spPr>
            <a:gradFill>
              <a:gsLst>
                <a:gs pos="0">
                  <a:schemeClr val="bg1"/>
                </a:gs>
                <a:gs pos="100000">
                  <a:schemeClr val="bg1">
                    <a:lumMod val="95000"/>
                  </a:schemeClr>
                </a:gs>
              </a:gsLst>
              <a:lin ang="5400000" scaled="1"/>
            </a:gradFill>
          </cx:spPr>
        </cx:plotSurface>
        <cx:series layoutId="boxWhisker" uniqueId="{100F4729-F335-4D3A-8C0E-51C6DD47CF72}">
          <cx:tx>
            <cx:txData>
              <cx:f>_xlchart.v1.4</cx:f>
              <cx:v>Gini coefficient [0-1]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  <a:ln w="12700">
              <a:solidFill>
                <a:schemeClr val="accent4">
                  <a:lumMod val="75000"/>
                </a:schemeClr>
              </a:solidFill>
            </a:ln>
          </cx:spPr>
          <cx:dataId val="0"/>
          <cx:layoutPr>
            <cx:visibility meanLine="0" meanMarker="1" nonoutliers="0" outliers="1"/>
            <cx:statistics quartileMethod="in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6" fmlaLink="$E$6" max="10" page="10" val="5"/>
</file>

<file path=xl/ctrlProps/ctrlProp2.xml><?xml version="1.0" encoding="utf-8"?>
<formControlPr xmlns="http://schemas.microsoft.com/office/spreadsheetml/2009/9/main" objectType="Spin" dx="26" fmlaLink="$E$9" max="10" page="10" val="7"/>
</file>

<file path=xl/ctrlProps/ctrlProp3.xml><?xml version="1.0" encoding="utf-8"?>
<formControlPr xmlns="http://schemas.microsoft.com/office/spreadsheetml/2009/9/main" objectType="Spin" dx="26" fmlaLink="$E$12" max="10" page="10" val="5"/>
</file>

<file path=xl/ctrlProps/ctrlProp4.xml><?xml version="1.0" encoding="utf-8"?>
<formControlPr xmlns="http://schemas.microsoft.com/office/spreadsheetml/2009/9/main" objectType="Spin" dx="26" fmlaLink="$E$15" max="10" page="10" val="8"/>
</file>

<file path=xl/ctrlProps/ctrlProp5.xml><?xml version="1.0" encoding="utf-8"?>
<formControlPr xmlns="http://schemas.microsoft.com/office/spreadsheetml/2009/9/main" objectType="Spin" dx="26" fmlaLink="$E$18" max="10" page="10" val="5"/>
</file>

<file path=xl/ctrlProps/ctrlProp6.xml><?xml version="1.0" encoding="utf-8"?>
<formControlPr xmlns="http://schemas.microsoft.com/office/spreadsheetml/2009/9/main" objectType="Spin" dx="26" fmlaLink="$E$21" max="10" page="10" val="4"/>
</file>

<file path=xl/ctrlProps/ctrlProp7.xml><?xml version="1.0" encoding="utf-8"?>
<formControlPr xmlns="http://schemas.microsoft.com/office/spreadsheetml/2009/9/main" objectType="Spin" dx="26" fmlaLink="$E$24" max="10" page="10" val="3"/>
</file>

<file path=xl/ctrlProps/ctrlProp8.xml><?xml version="1.0" encoding="utf-8"?>
<formControlPr xmlns="http://schemas.microsoft.com/office/spreadsheetml/2009/9/main" objectType="Spin" dx="26" fmlaLink="$E$27" max="10" page="10" val="9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3.xml"/><Relationship Id="rId1" Type="http://schemas.microsoft.com/office/2014/relationships/chartEx" Target="../charts/chartEx2.xml"/><Relationship Id="rId4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8</xdr:row>
          <xdr:rowOff>0</xdr:rowOff>
        </xdr:from>
        <xdr:to>
          <xdr:col>13</xdr:col>
          <xdr:colOff>7327</xdr:colOff>
          <xdr:row>27</xdr:row>
          <xdr:rowOff>4885</xdr:rowOff>
        </xdr:to>
        <xdr:pic>
          <xdr:nvPicPr>
            <xdr:cNvPr id="11" name="Grafik 10">
              <a:extLst>
                <a:ext uri="{FF2B5EF4-FFF2-40B4-BE49-F238E27FC236}">
                  <a16:creationId xmlns:a16="http://schemas.microsoft.com/office/drawing/2014/main" id="{C21716E7-B24F-AA00-31BA-094560FC5D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iagram_changer" spid="_x0000_s112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152900" y="1682750"/>
              <a:ext cx="4941277" cy="390378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792480</xdr:colOff>
          <xdr:row>4</xdr:row>
          <xdr:rowOff>182880</xdr:rowOff>
        </xdr:from>
        <xdr:to>
          <xdr:col>3</xdr:col>
          <xdr:colOff>243840</xdr:colOff>
          <xdr:row>6</xdr:row>
          <xdr:rowOff>0</xdr:rowOff>
        </xdr:to>
        <xdr:sp macro="" textlink="">
          <xdr:nvSpPr>
            <xdr:cNvPr id="1069" name="Spinner 45" hidden="1">
              <a:extLst>
                <a:ext uri="{63B3BB69-23CF-44E3-9099-C40C66FF867C}">
                  <a14:compatExt spid="_x0000_s1069"/>
                </a:ext>
                <a:ext uri="{FF2B5EF4-FFF2-40B4-BE49-F238E27FC236}">
                  <a16:creationId xmlns:a16="http://schemas.microsoft.com/office/drawing/2014/main" id="{00000000-0008-0000-0000-00002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8</xdr:row>
          <xdr:rowOff>0</xdr:rowOff>
        </xdr:from>
        <xdr:to>
          <xdr:col>4</xdr:col>
          <xdr:colOff>0</xdr:colOff>
          <xdr:row>9</xdr:row>
          <xdr:rowOff>0</xdr:rowOff>
        </xdr:to>
        <xdr:sp macro="" textlink="">
          <xdr:nvSpPr>
            <xdr:cNvPr id="1070" name="Spinner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0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11</xdr:row>
          <xdr:rowOff>0</xdr:rowOff>
        </xdr:from>
        <xdr:to>
          <xdr:col>4</xdr:col>
          <xdr:colOff>0</xdr:colOff>
          <xdr:row>12</xdr:row>
          <xdr:rowOff>0</xdr:rowOff>
        </xdr:to>
        <xdr:sp macro="" textlink="">
          <xdr:nvSpPr>
            <xdr:cNvPr id="1071" name="Spinner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0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14</xdr:row>
          <xdr:rowOff>0</xdr:rowOff>
        </xdr:from>
        <xdr:to>
          <xdr:col>4</xdr:col>
          <xdr:colOff>0</xdr:colOff>
          <xdr:row>15</xdr:row>
          <xdr:rowOff>0</xdr:rowOff>
        </xdr:to>
        <xdr:sp macro="" textlink="">
          <xdr:nvSpPr>
            <xdr:cNvPr id="1072" name="Spinner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17</xdr:row>
          <xdr:rowOff>0</xdr:rowOff>
        </xdr:from>
        <xdr:to>
          <xdr:col>4</xdr:col>
          <xdr:colOff>0</xdr:colOff>
          <xdr:row>18</xdr:row>
          <xdr:rowOff>0</xdr:rowOff>
        </xdr:to>
        <xdr:sp macro="" textlink="">
          <xdr:nvSpPr>
            <xdr:cNvPr id="1073" name="Spinner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0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20</xdr:row>
          <xdr:rowOff>0</xdr:rowOff>
        </xdr:from>
        <xdr:to>
          <xdr:col>4</xdr:col>
          <xdr:colOff>0</xdr:colOff>
          <xdr:row>21</xdr:row>
          <xdr:rowOff>0</xdr:rowOff>
        </xdr:to>
        <xdr:sp macro="" textlink="">
          <xdr:nvSpPr>
            <xdr:cNvPr id="1074" name="Spinner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0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23</xdr:row>
          <xdr:rowOff>0</xdr:rowOff>
        </xdr:from>
        <xdr:to>
          <xdr:col>4</xdr:col>
          <xdr:colOff>0</xdr:colOff>
          <xdr:row>24</xdr:row>
          <xdr:rowOff>0</xdr:rowOff>
        </xdr:to>
        <xdr:sp macro="" textlink="">
          <xdr:nvSpPr>
            <xdr:cNvPr id="1075" name="Spinner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0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26</xdr:row>
          <xdr:rowOff>0</xdr:rowOff>
        </xdr:from>
        <xdr:to>
          <xdr:col>4</xdr:col>
          <xdr:colOff>0</xdr:colOff>
          <xdr:row>27</xdr:row>
          <xdr:rowOff>0</xdr:rowOff>
        </xdr:to>
        <xdr:sp macro="" textlink="">
          <xdr:nvSpPr>
            <xdr:cNvPr id="1076" name="Spinner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id="{00000000-0008-0000-00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0</xdr:colOff>
      <xdr:row>19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Diagramm 2">
              <a:extLst>
                <a:ext uri="{FF2B5EF4-FFF2-40B4-BE49-F238E27FC236}">
                  <a16:creationId xmlns:a16="http://schemas.microsoft.com/office/drawing/2014/main" id="{F402ED35-84E5-48E7-8576-228BFA657F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4937760" cy="39014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40</xdr:row>
      <xdr:rowOff>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906B71DA-C6A4-4173-8FC7-1E2DB972F0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774700</xdr:colOff>
      <xdr:row>15</xdr:row>
      <xdr:rowOff>0</xdr:rowOff>
    </xdr:from>
    <xdr:ext cx="425450" cy="173766"/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46AB0B3F-71FA-D673-DF50-2B7E83C6C261}"/>
            </a:ext>
          </a:extLst>
        </xdr:cNvPr>
        <xdr:cNvSpPr txBox="1"/>
      </xdr:nvSpPr>
      <xdr:spPr>
        <a:xfrm>
          <a:off x="6330950" y="2762250"/>
          <a:ext cx="425450" cy="17376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spAutoFit/>
        </a:bodyPr>
        <a:lstStyle/>
        <a:p>
          <a:endParaRPr lang="de-DE" sz="1100"/>
        </a:p>
      </xdr:txBody>
    </xdr:sp>
    <xdr:clientData/>
  </xdr:oneCellAnchor>
  <xdr:twoCellAnchor>
    <xdr:from>
      <xdr:col>0</xdr:col>
      <xdr:colOff>0</xdr:colOff>
      <xdr:row>6</xdr:row>
      <xdr:rowOff>0</xdr:rowOff>
    </xdr:from>
    <xdr:to>
      <xdr:col>2</xdr:col>
      <xdr:colOff>0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Diagramm 4">
              <a:extLst>
                <a:ext uri="{FF2B5EF4-FFF2-40B4-BE49-F238E27FC236}">
                  <a16:creationId xmlns:a16="http://schemas.microsoft.com/office/drawing/2014/main" id="{3134934A-70A3-47B6-917F-24D06F6CBC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249680"/>
              <a:ext cx="1371600" cy="2895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  <xdr:twoCellAnchor>
    <xdr:from>
      <xdr:col>5</xdr:col>
      <xdr:colOff>0</xdr:colOff>
      <xdr:row>6</xdr:row>
      <xdr:rowOff>0</xdr:rowOff>
    </xdr:from>
    <xdr:to>
      <xdr:col>7</xdr:col>
      <xdr:colOff>0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Diagramm 5">
              <a:extLst>
                <a:ext uri="{FF2B5EF4-FFF2-40B4-BE49-F238E27FC236}">
                  <a16:creationId xmlns:a16="http://schemas.microsoft.com/office/drawing/2014/main" id="{3A15BAF8-D380-489B-83A9-C303FE6981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49040" y="1249680"/>
              <a:ext cx="1371600" cy="2895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  <xdr:twoCellAnchor>
    <xdr:from>
      <xdr:col>8</xdr:col>
      <xdr:colOff>0</xdr:colOff>
      <xdr:row>2</xdr:row>
      <xdr:rowOff>0</xdr:rowOff>
    </xdr:from>
    <xdr:to>
      <xdr:col>17</xdr:col>
      <xdr:colOff>0</xdr:colOff>
      <xdr:row>14</xdr:row>
      <xdr:rowOff>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A202C14A-0D53-43A2-A053-A95660C8D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15</xdr:row>
          <xdr:rowOff>0</xdr:rowOff>
        </xdr:from>
        <xdr:to>
          <xdr:col>5</xdr:col>
          <xdr:colOff>0</xdr:colOff>
          <xdr:row>16</xdr:row>
          <xdr:rowOff>34495</xdr:rowOff>
        </xdr:to>
        <xdr:pic>
          <xdr:nvPicPr>
            <xdr:cNvPr id="14" name="Grafik 13">
              <a:extLst>
                <a:ext uri="{FF2B5EF4-FFF2-40B4-BE49-F238E27FC236}">
                  <a16:creationId xmlns:a16="http://schemas.microsoft.com/office/drawing/2014/main" id="{3EB6E51B-A78E-9286-888D-90396F6F55E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orrelations (help)'!$A$3:$C$8" spid="_x0000_s3094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524000" y="3575050"/>
              <a:ext cx="2381250" cy="112669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426C6DB9-4028-4599-AD2F-79FECEC1BC7D}" autoFormatId="16" applyNumberFormats="0" applyBorderFormats="0" applyFontFormats="0" applyPatternFormats="0" applyAlignmentFormats="0" applyWidthHeightFormats="0">
  <queryTableRefresh nextId="42">
    <queryTableFields count="41">
      <queryTableField id="1" name="Alpha-2-Code" tableColumnId="1"/>
      <queryTableField id="2" name="Alpha-3-Code" tableColumnId="2"/>
      <queryTableField id="3" name="Country" tableColumnId="3"/>
      <queryTableField id="4" name="Continent" tableColumnId="4"/>
      <queryTableField id="5" name="UN-Member?" tableColumnId="5"/>
      <queryTableField id="6" name="Currency" tableColumnId="6"/>
      <queryTableField id="7" name="Population" tableColumnId="7"/>
      <queryTableField id="8" name="Big Mac Index (% under-/overvalued; raw index)" tableColumnId="8"/>
      <queryTableField id="9" name="Big Mac Index (% under-/overvalued; GDP-adjusted)" tableColumnId="9"/>
      <queryTableField id="10" name="GDP (IMF '25; USD)" tableColumnId="10"/>
      <queryTableField id="11" name="GDP (UN '23; USD)" tableColumnId="11"/>
      <queryTableField id="12" name="GDP per capita (USD)" tableColumnId="12"/>
      <queryTableField id="13" name="Year of Gini-survey" tableColumnId="13"/>
      <queryTableField id="14" name="Gini-Coefficient (2021 prices; income or consumption consolid)" tableColumnId="14"/>
      <queryTableField id="15" name="HDI (2023)" tableColumnId="15"/>
      <queryTableField id="16" name="Years of life expectancy at birth (2023)" tableColumnId="16"/>
      <queryTableField id="17" name="Expected years of schooling (2023)" tableColumnId="17"/>
      <queryTableField id="18" name="Mean years of schooling (2023)" tableColumnId="18"/>
      <queryTableField id="19" name="GNI per capita (USD)" tableColumnId="19"/>
      <queryTableField id="20" name="Cost of Living Index" tableColumnId="20"/>
      <queryTableField id="21" name="Rent Index" tableColumnId="21"/>
      <queryTableField id="22" name="Cost of Living Plus Rent Index" tableColumnId="22"/>
      <queryTableField id="23" name="Groceries Index" tableColumnId="23"/>
      <queryTableField id="24" name="Restaurant Price Index" tableColumnId="24"/>
      <queryTableField id="25" name="Local Purchasing Power Index" tableColumnId="25"/>
      <queryTableField id="26" name="Price To Income Ratio" tableColumnId="26"/>
      <queryTableField id="27" name="Gross Rental Yield City Centre" tableColumnId="27"/>
      <queryTableField id="28" name="Gross Rental Yield Outside of Centre" tableColumnId="28"/>
      <queryTableField id="29" name="Price To Rent Ratio City Centre" tableColumnId="29"/>
      <queryTableField id="30" name="Price To Rent Ratio Outside Of City Centre" tableColumnId="30"/>
      <queryTableField id="31" name="Mortgage As A Percentage Of Income" tableColumnId="31"/>
      <queryTableField id="32" name="Affordability Index" tableColumnId="32"/>
      <queryTableField id="33" name="Quality of Life Index" tableColumnId="33"/>
      <queryTableField id="34" name="Purchasing Power Index" tableColumnId="34"/>
      <queryTableField id="35" name="Safety Index" tableColumnId="35"/>
      <queryTableField id="36" name="Health Care Index" tableColumnId="36"/>
      <queryTableField id="37" name="Property Price to Income Ratio" tableColumnId="37"/>
      <queryTableField id="38" name="Traffic Commute Time Index" tableColumnId="38"/>
      <queryTableField id="39" name="Pollution Index" tableColumnId="39"/>
      <queryTableField id="40" name="Climate Index" tableColumnId="40"/>
      <queryTableField id="41" name="Word Happieness Report (life evaluation; 3-year-average)" tableColumnId="4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5D14BF-90C7-4FE5-8E60-6221A7B9E3FF}" name="main_table" displayName="main_table" ref="A1:AO235" tableType="queryTable" totalsRowShown="0" headerRowDxfId="5">
  <autoFilter ref="A1:AO235" xr:uid="{C45D14BF-90C7-4FE5-8E60-6221A7B9E3FF}"/>
  <tableColumns count="41">
    <tableColumn id="1" xr3:uid="{D04E752C-442A-4946-8219-9ED90F8B2FDC}" uniqueName="1" name="Alpha-2-Code" queryTableFieldId="1" dataDxfId="4"/>
    <tableColumn id="2" xr3:uid="{46480844-3A57-4A6A-AC44-E2ADDA1158F8}" uniqueName="2" name="Alpha-3-Code" queryTableFieldId="2" dataDxfId="3"/>
    <tableColumn id="3" xr3:uid="{0A9E5162-D52D-4E1F-851A-C19243AFDE4D}" uniqueName="3" name="Country" queryTableFieldId="3" dataDxfId="2"/>
    <tableColumn id="4" xr3:uid="{875CD280-1E95-48C1-997A-B66C3DD5E384}" uniqueName="4" name="Continent" queryTableFieldId="4" dataDxfId="1"/>
    <tableColumn id="5" xr3:uid="{4FE06E50-A87E-4ED7-A0E3-BE88AB7A4DAF}" uniqueName="5" name="UN-Member?" queryTableFieldId="5"/>
    <tableColumn id="6" xr3:uid="{E23A961B-2E01-473A-9547-241E4E216CDF}" uniqueName="6" name="Currency" queryTableFieldId="6" dataDxfId="0"/>
    <tableColumn id="7" xr3:uid="{138EAB1C-60F3-4EF7-A2ED-FE9948DA2409}" uniqueName="7" name="Population" queryTableFieldId="7"/>
    <tableColumn id="8" xr3:uid="{CF2D8BE9-B9DA-4EC4-ABCA-EE64DB71447B}" uniqueName="8" name="Big Mac Index (% under-/overvalued; raw index)" queryTableFieldId="8"/>
    <tableColumn id="9" xr3:uid="{B9902FE7-8C47-4067-ADE5-D611CD2AAC69}" uniqueName="9" name="Big Mac Index (% under-/overvalued; GDP-adjusted)" queryTableFieldId="9"/>
    <tableColumn id="10" xr3:uid="{21128A3C-7AF8-4C33-BBD1-D01B03AA8136}" uniqueName="10" name="GDP_x000a_(IMF '25; USD)" queryTableFieldId="10"/>
    <tableColumn id="11" xr3:uid="{496E15D1-57C1-410F-A80D-1A798F81FBCD}" uniqueName="11" name="GDP_x000a_(UN '23; USD)" queryTableFieldId="11"/>
    <tableColumn id="12" xr3:uid="{11ED0103-F945-431A-814B-AD9D7464BDF0}" uniqueName="12" name="GDP per capita (USD)" queryTableFieldId="12"/>
    <tableColumn id="13" xr3:uid="{91AB1AD9-8446-4723-9C97-A291C8C85822}" uniqueName="13" name="Year of Gini-survey" queryTableFieldId="13"/>
    <tableColumn id="14" xr3:uid="{CB11A740-EFFF-4B5E-9893-BACEB2E4BF3F}" uniqueName="14" name="Gini-Coefficient (2021 prices; income or consumption consolid)" queryTableFieldId="14"/>
    <tableColumn id="15" xr3:uid="{9FAF020B-C9BB-4F36-920D-BDCE3EE66643}" uniqueName="15" name="HDI (2023)" queryTableFieldId="15"/>
    <tableColumn id="16" xr3:uid="{41900BB9-1513-476C-9017-622D2EE4F15E}" uniqueName="16" name="Years of life expectancy at birth (2023)" queryTableFieldId="16"/>
    <tableColumn id="17" xr3:uid="{20B2B569-7A93-46E9-A455-E234C8DC035D}" uniqueName="17" name="Expected years of schooling (2023)" queryTableFieldId="17"/>
    <tableColumn id="18" xr3:uid="{138D0DAD-9BEA-4864-BD1B-B11F1F8B0337}" uniqueName="18" name="Mean years of schooling (2023)" queryTableFieldId="18"/>
    <tableColumn id="19" xr3:uid="{28E93966-F4DB-44AE-A15D-566591C02470}" uniqueName="19" name="GNI per capita (USD)" queryTableFieldId="19"/>
    <tableColumn id="20" xr3:uid="{4EB12037-C00C-405F-A276-5DB79606B317}" uniqueName="20" name="Cost of Living Index" queryTableFieldId="20"/>
    <tableColumn id="21" xr3:uid="{E60D80B8-C998-4256-B5E1-9EAA0705C17F}" uniqueName="21" name="Rent Index" queryTableFieldId="21"/>
    <tableColumn id="22" xr3:uid="{2E7D908F-806E-4462-80A4-32632EB370B8}" uniqueName="22" name="Cost of Living Plus Rent Index" queryTableFieldId="22"/>
    <tableColumn id="23" xr3:uid="{F1DD2C7B-D829-43AD-9B90-3CF2F8969D07}" uniqueName="23" name="Groceries Index" queryTableFieldId="23"/>
    <tableColumn id="24" xr3:uid="{F19DE748-B07D-4C97-964D-6DDEB4A6E408}" uniqueName="24" name="Restaurant Price Index" queryTableFieldId="24"/>
    <tableColumn id="25" xr3:uid="{5407894C-94D8-48D0-9DFE-00855BB6BE75}" uniqueName="25" name="Local Purchasing Power Index" queryTableFieldId="25"/>
    <tableColumn id="26" xr3:uid="{2930B5FC-CA18-4089-A609-EDCF4AAF4D1C}" uniqueName="26" name="Price To Income Ratio" queryTableFieldId="26"/>
    <tableColumn id="27" xr3:uid="{87A4D37B-AF06-420F-817B-6813CFDAF0D3}" uniqueName="27" name="Gross Rental Yield City Centre" queryTableFieldId="27"/>
    <tableColumn id="28" xr3:uid="{36AADF87-1ACA-44F2-9744-C6786B59B185}" uniqueName="28" name="Gross Rental Yield Outside of Centre" queryTableFieldId="28"/>
    <tableColumn id="29" xr3:uid="{A96D3274-67EF-4AC2-9093-E78D5AC9A3F2}" uniqueName="29" name="Price To Rent Ratio City Centre" queryTableFieldId="29"/>
    <tableColumn id="30" xr3:uid="{C99460B9-2115-4F09-BEFD-E34A5299C3DB}" uniqueName="30" name="Price To Rent Ratio Outside Of City Centre" queryTableFieldId="30"/>
    <tableColumn id="31" xr3:uid="{304C2238-04A5-40A5-950F-EE5D1E1BBA69}" uniqueName="31" name="Mortgage As A Percentage Of Income" queryTableFieldId="31"/>
    <tableColumn id="32" xr3:uid="{0BC702AD-6CE1-4AC3-8ABD-2A93603ED121}" uniqueName="32" name="Affordability Index" queryTableFieldId="32"/>
    <tableColumn id="33" xr3:uid="{8BDE1436-A517-4BB0-AE0F-E18273F8AC88}" uniqueName="33" name="Quality of Life Index" queryTableFieldId="33"/>
    <tableColumn id="34" xr3:uid="{396CBFC4-48AA-480D-A72C-4F0E49C9C14F}" uniqueName="34" name="Purchasing Power Index" queryTableFieldId="34"/>
    <tableColumn id="35" xr3:uid="{F59DE476-FAA4-4764-9B42-F90128FE46DD}" uniqueName="35" name="Safety Index" queryTableFieldId="35"/>
    <tableColumn id="36" xr3:uid="{D12F1ED8-56AE-4F9A-AC9D-2C0CD5D11A93}" uniqueName="36" name="Health Care Index" queryTableFieldId="36"/>
    <tableColumn id="37" xr3:uid="{2E80C8D7-64E7-4D35-B5DA-4189F38131C6}" uniqueName="37" name="Property Price to Income Ratio" queryTableFieldId="37"/>
    <tableColumn id="38" xr3:uid="{D85744D0-B112-4F53-8A59-9770A7D6F42E}" uniqueName="38" name="Traffic Commute Time Index" queryTableFieldId="38"/>
    <tableColumn id="39" xr3:uid="{B84B22E3-EC42-4741-96DA-8191034172B5}" uniqueName="39" name="Pollution Index" queryTableFieldId="39"/>
    <tableColumn id="40" xr3:uid="{F9C22883-C8F7-4064-B0DF-82EB06E80843}" uniqueName="40" name="Climate Index" queryTableFieldId="40"/>
    <tableColumn id="41" xr3:uid="{AFF5C850-22BC-4407-A27A-864684F66A34}" uniqueName="41" name="Word Happieness Report (life evaluation; 3-year-average)" queryTableFieldId="41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10" Type="http://schemas.openxmlformats.org/officeDocument/2006/relationships/ctrlProp" Target="../ctrlProps/ctrlProp8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348D0-FDD5-4F90-B552-312BF4C2E8C9}">
  <sheetPr>
    <tabColor theme="8" tint="0.79998168889431442"/>
  </sheetPr>
  <dimension ref="A1:AO235"/>
  <sheetViews>
    <sheetView workbookViewId="0"/>
  </sheetViews>
  <sheetFormatPr baseColWidth="10" defaultRowHeight="14.4" x14ac:dyDescent="0.3"/>
  <cols>
    <col min="1" max="2" width="10.33203125" bestFit="1" customWidth="1"/>
    <col min="3" max="3" width="27.6640625" bestFit="1" customWidth="1"/>
    <col min="4" max="4" width="12.6640625" bestFit="1" customWidth="1"/>
    <col min="5" max="5" width="14.21875" bestFit="1" customWidth="1"/>
    <col min="6" max="6" width="10.6640625" bestFit="1" customWidth="1"/>
    <col min="7" max="7" width="12.21875" bestFit="1" customWidth="1"/>
    <col min="8" max="8" width="22.88671875" bestFit="1" customWidth="1"/>
    <col min="9" max="9" width="26.44140625" bestFit="1" customWidth="1"/>
    <col min="10" max="10" width="14.77734375" bestFit="1" customWidth="1"/>
    <col min="11" max="11" width="14.33203125" bestFit="1" customWidth="1"/>
    <col min="12" max="12" width="13.77734375" bestFit="1" customWidth="1"/>
    <col min="13" max="13" width="13.21875" bestFit="1" customWidth="1"/>
    <col min="14" max="14" width="31.109375" bestFit="1" customWidth="1"/>
    <col min="15" max="15" width="12" bestFit="1" customWidth="1"/>
    <col min="16" max="16" width="22.6640625" bestFit="1" customWidth="1"/>
    <col min="17" max="17" width="17.6640625" bestFit="1" customWidth="1"/>
    <col min="18" max="18" width="16.77734375" bestFit="1" customWidth="1"/>
    <col min="19" max="19" width="13.77734375" bestFit="1" customWidth="1"/>
    <col min="20" max="20" width="14" bestFit="1" customWidth="1"/>
    <col min="21" max="21" width="7.77734375" bestFit="1" customWidth="1"/>
    <col min="22" max="22" width="15.77734375" bestFit="1" customWidth="1"/>
    <col min="23" max="23" width="10.44140625" bestFit="1" customWidth="1"/>
    <col min="24" max="24" width="12.44140625" customWidth="1"/>
    <col min="25" max="25" width="17.109375" bestFit="1" customWidth="1"/>
    <col min="26" max="26" width="14.109375" bestFit="1" customWidth="1"/>
    <col min="27" max="27" width="17" bestFit="1" customWidth="1"/>
    <col min="28" max="28" width="18.33203125" bestFit="1" customWidth="1"/>
    <col min="29" max="29" width="18.6640625" bestFit="1" customWidth="1"/>
    <col min="30" max="30" width="21.6640625" bestFit="1" customWidth="1"/>
    <col min="31" max="31" width="21.44140625" bestFit="1" customWidth="1"/>
    <col min="32" max="32" width="13.5546875" bestFit="1" customWidth="1"/>
    <col min="33" max="33" width="14.44140625" customWidth="1"/>
    <col min="34" max="34" width="13.21875" bestFit="1" customWidth="1"/>
    <col min="35" max="35" width="8.44140625" bestFit="1" customWidth="1"/>
    <col min="36" max="36" width="13" bestFit="1" customWidth="1"/>
    <col min="37" max="38" width="17" bestFit="1" customWidth="1"/>
    <col min="39" max="39" width="10.6640625" bestFit="1" customWidth="1"/>
    <col min="40" max="40" width="9.88671875" bestFit="1" customWidth="1"/>
    <col min="41" max="41" width="27.6640625" bestFit="1" customWidth="1"/>
  </cols>
  <sheetData>
    <row r="1" spans="1:41" s="10" customFormat="1" ht="28.8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777</v>
      </c>
      <c r="K1" s="10" t="s">
        <v>778</v>
      </c>
      <c r="L1" s="10" t="s">
        <v>9</v>
      </c>
      <c r="M1" s="10" t="s">
        <v>10</v>
      </c>
      <c r="N1" s="10" t="s">
        <v>11</v>
      </c>
      <c r="O1" s="10" t="s">
        <v>12</v>
      </c>
      <c r="P1" s="10" t="s">
        <v>13</v>
      </c>
      <c r="Q1" s="10" t="s">
        <v>14</v>
      </c>
      <c r="R1" s="10" t="s">
        <v>15</v>
      </c>
      <c r="S1" s="10" t="s">
        <v>16</v>
      </c>
      <c r="T1" s="10" t="s">
        <v>17</v>
      </c>
      <c r="U1" s="10" t="s">
        <v>18</v>
      </c>
      <c r="V1" s="10" t="s">
        <v>19</v>
      </c>
      <c r="W1" s="10" t="s">
        <v>20</v>
      </c>
      <c r="X1" s="10" t="s">
        <v>21</v>
      </c>
      <c r="Y1" s="10" t="s">
        <v>22</v>
      </c>
      <c r="Z1" s="10" t="s">
        <v>23</v>
      </c>
      <c r="AA1" s="10" t="s">
        <v>24</v>
      </c>
      <c r="AB1" s="10" t="s">
        <v>25</v>
      </c>
      <c r="AC1" s="10" t="s">
        <v>26</v>
      </c>
      <c r="AD1" s="10" t="s">
        <v>27</v>
      </c>
      <c r="AE1" s="10" t="s">
        <v>28</v>
      </c>
      <c r="AF1" s="10" t="s">
        <v>29</v>
      </c>
      <c r="AG1" s="10" t="s">
        <v>30</v>
      </c>
      <c r="AH1" s="10" t="s">
        <v>31</v>
      </c>
      <c r="AI1" s="10" t="s">
        <v>32</v>
      </c>
      <c r="AJ1" s="10" t="s">
        <v>33</v>
      </c>
      <c r="AK1" s="10" t="s">
        <v>34</v>
      </c>
      <c r="AL1" s="10" t="s">
        <v>35</v>
      </c>
      <c r="AM1" s="10" t="s">
        <v>36</v>
      </c>
      <c r="AN1" s="10" t="s">
        <v>37</v>
      </c>
      <c r="AO1" s="10" t="s">
        <v>38</v>
      </c>
    </row>
    <row r="2" spans="1:41" x14ac:dyDescent="0.3">
      <c r="A2" t="s">
        <v>39</v>
      </c>
      <c r="C2" t="s">
        <v>40</v>
      </c>
      <c r="D2" t="s">
        <v>41</v>
      </c>
      <c r="E2" t="b">
        <v>1</v>
      </c>
      <c r="G2">
        <v>43844100</v>
      </c>
      <c r="K2">
        <v>16420000000</v>
      </c>
      <c r="L2">
        <v>374</v>
      </c>
      <c r="O2">
        <v>0.496</v>
      </c>
      <c r="P2">
        <v>66.034999999999997</v>
      </c>
      <c r="Q2">
        <v>10.790143240000001</v>
      </c>
      <c r="R2">
        <v>2.514790058</v>
      </c>
      <c r="S2">
        <v>1971.549458</v>
      </c>
      <c r="T2">
        <v>19.100000000000001</v>
      </c>
      <c r="U2">
        <v>2</v>
      </c>
      <c r="V2">
        <v>11.6</v>
      </c>
      <c r="W2">
        <v>16.600000000000001</v>
      </c>
      <c r="X2">
        <v>13.2</v>
      </c>
      <c r="Y2">
        <v>35.700000000000003</v>
      </c>
      <c r="AO2">
        <v>1.3640000000000001</v>
      </c>
    </row>
    <row r="3" spans="1:41" x14ac:dyDescent="0.3">
      <c r="A3" t="s">
        <v>42</v>
      </c>
      <c r="B3" t="s">
        <v>43</v>
      </c>
      <c r="C3" t="s">
        <v>44</v>
      </c>
      <c r="D3" t="s">
        <v>45</v>
      </c>
      <c r="E3" t="b">
        <v>1</v>
      </c>
      <c r="G3">
        <v>2771510</v>
      </c>
      <c r="J3">
        <v>28370000000</v>
      </c>
      <c r="K3">
        <v>22980000000</v>
      </c>
      <c r="L3">
        <v>10237</v>
      </c>
      <c r="M3">
        <v>2020</v>
      </c>
      <c r="N3">
        <v>0.29419630000000002</v>
      </c>
      <c r="O3">
        <v>0.81</v>
      </c>
      <c r="P3">
        <v>79.602000000000004</v>
      </c>
      <c r="Q3">
        <v>14.51014996</v>
      </c>
      <c r="R3">
        <v>10.17531099</v>
      </c>
      <c r="S3">
        <v>17627.394039999999</v>
      </c>
      <c r="T3">
        <v>43.7</v>
      </c>
      <c r="U3">
        <v>15.3</v>
      </c>
      <c r="V3">
        <v>31.3</v>
      </c>
      <c r="W3">
        <v>44.1</v>
      </c>
      <c r="X3">
        <v>40.700000000000003</v>
      </c>
      <c r="Y3">
        <v>45.1</v>
      </c>
      <c r="Z3">
        <v>16.3</v>
      </c>
      <c r="AA3">
        <v>4.9000000000000004</v>
      </c>
      <c r="AB3">
        <v>5.7</v>
      </c>
      <c r="AC3">
        <v>20.3</v>
      </c>
      <c r="AD3">
        <v>17.399999999999999</v>
      </c>
      <c r="AE3">
        <v>135.1</v>
      </c>
      <c r="AF3">
        <v>0.7</v>
      </c>
      <c r="AG3">
        <v>104.1</v>
      </c>
      <c r="AH3">
        <v>46.3</v>
      </c>
      <c r="AI3">
        <v>55.8</v>
      </c>
      <c r="AJ3">
        <v>48.2</v>
      </c>
      <c r="AK3">
        <v>16.3</v>
      </c>
      <c r="AL3">
        <v>36.299999999999997</v>
      </c>
      <c r="AM3">
        <v>77.3</v>
      </c>
      <c r="AN3">
        <v>86.3</v>
      </c>
      <c r="AO3">
        <v>5.4109999999999996</v>
      </c>
    </row>
    <row r="4" spans="1:41" x14ac:dyDescent="0.3">
      <c r="A4" t="s">
        <v>46</v>
      </c>
      <c r="B4" t="s">
        <v>47</v>
      </c>
      <c r="C4" t="s">
        <v>48</v>
      </c>
      <c r="D4" t="s">
        <v>49</v>
      </c>
      <c r="E4" t="b">
        <v>1</v>
      </c>
      <c r="G4">
        <v>47435300</v>
      </c>
      <c r="J4">
        <v>268880000000</v>
      </c>
      <c r="K4">
        <v>247630000000</v>
      </c>
      <c r="L4">
        <v>5668</v>
      </c>
      <c r="M4">
        <v>2011</v>
      </c>
      <c r="N4">
        <v>0.27615731999999998</v>
      </c>
      <c r="O4">
        <v>0.76300000000000001</v>
      </c>
      <c r="P4">
        <v>76.260999999999996</v>
      </c>
      <c r="Q4">
        <v>15.4951601</v>
      </c>
      <c r="R4">
        <v>7.4163869870000001</v>
      </c>
      <c r="S4">
        <v>15114.17175</v>
      </c>
      <c r="T4">
        <v>26.8</v>
      </c>
      <c r="U4">
        <v>3.8</v>
      </c>
      <c r="V4">
        <v>16.7</v>
      </c>
      <c r="W4">
        <v>36</v>
      </c>
      <c r="X4">
        <v>15.4</v>
      </c>
      <c r="Y4">
        <v>38.299999999999997</v>
      </c>
      <c r="Z4">
        <v>16.5</v>
      </c>
      <c r="AA4">
        <v>2.8</v>
      </c>
      <c r="AB4">
        <v>3</v>
      </c>
      <c r="AC4">
        <v>35.200000000000003</v>
      </c>
      <c r="AD4">
        <v>33.4</v>
      </c>
      <c r="AE4">
        <v>143.1</v>
      </c>
      <c r="AF4">
        <v>0.7</v>
      </c>
      <c r="AO4">
        <v>5.5709999999999997</v>
      </c>
    </row>
    <row r="5" spans="1:41" x14ac:dyDescent="0.3">
      <c r="A5" t="s">
        <v>50</v>
      </c>
      <c r="C5" t="s">
        <v>51</v>
      </c>
      <c r="D5" t="s">
        <v>52</v>
      </c>
      <c r="E5" t="b">
        <v>0</v>
      </c>
    </row>
    <row r="6" spans="1:41" x14ac:dyDescent="0.3">
      <c r="A6" t="s">
        <v>53</v>
      </c>
      <c r="C6" t="s">
        <v>54</v>
      </c>
      <c r="D6" t="s">
        <v>45</v>
      </c>
      <c r="E6" t="b">
        <v>1</v>
      </c>
      <c r="G6">
        <v>82904</v>
      </c>
      <c r="J6">
        <v>4040000000</v>
      </c>
      <c r="K6">
        <v>3790000000</v>
      </c>
      <c r="L6">
        <v>48671</v>
      </c>
      <c r="O6">
        <v>0.91300000000000003</v>
      </c>
      <c r="P6">
        <v>84.040999999999997</v>
      </c>
      <c r="Q6">
        <v>14.54279041</v>
      </c>
      <c r="R6">
        <v>11.60999966</v>
      </c>
      <c r="S6">
        <v>64631.0749</v>
      </c>
    </row>
    <row r="7" spans="1:41" x14ac:dyDescent="0.3">
      <c r="A7" t="s">
        <v>55</v>
      </c>
      <c r="B7" t="s">
        <v>56</v>
      </c>
      <c r="C7" t="s">
        <v>57</v>
      </c>
      <c r="D7" t="s">
        <v>49</v>
      </c>
      <c r="E7" t="b">
        <v>1</v>
      </c>
      <c r="G7">
        <v>39040000</v>
      </c>
      <c r="J7">
        <v>113340000000</v>
      </c>
      <c r="K7">
        <v>90550000000</v>
      </c>
      <c r="L7">
        <v>2903</v>
      </c>
      <c r="M7">
        <v>2018</v>
      </c>
      <c r="N7">
        <v>0.51264286000000003</v>
      </c>
      <c r="O7">
        <v>0.61599999999999999</v>
      </c>
      <c r="P7">
        <v>64.617000000000004</v>
      </c>
      <c r="Q7">
        <v>12.1676</v>
      </c>
      <c r="R7">
        <v>5.9561730089999996</v>
      </c>
      <c r="S7">
        <v>6631.2765440000003</v>
      </c>
    </row>
    <row r="8" spans="1:41" x14ac:dyDescent="0.3">
      <c r="A8" t="s">
        <v>58</v>
      </c>
      <c r="C8" t="s">
        <v>59</v>
      </c>
      <c r="D8" t="s">
        <v>60</v>
      </c>
      <c r="E8" t="b">
        <v>0</v>
      </c>
      <c r="G8">
        <v>14728</v>
      </c>
      <c r="K8">
        <v>415740000</v>
      </c>
      <c r="L8">
        <v>28228</v>
      </c>
    </row>
    <row r="9" spans="1:41" x14ac:dyDescent="0.3">
      <c r="A9" t="s">
        <v>61</v>
      </c>
      <c r="C9" t="s">
        <v>62</v>
      </c>
      <c r="D9" t="s">
        <v>60</v>
      </c>
      <c r="E9" t="b">
        <v>1</v>
      </c>
      <c r="G9">
        <v>94209</v>
      </c>
      <c r="J9">
        <v>2370000000</v>
      </c>
      <c r="K9">
        <v>2030000000</v>
      </c>
      <c r="L9">
        <v>25189</v>
      </c>
      <c r="O9">
        <v>0.85099999999999998</v>
      </c>
      <c r="P9">
        <v>77.597999999999999</v>
      </c>
      <c r="Q9">
        <v>15.50299899</v>
      </c>
      <c r="R9">
        <v>11.647500040000001</v>
      </c>
      <c r="S9">
        <v>27386.517930000002</v>
      </c>
    </row>
    <row r="10" spans="1:41" x14ac:dyDescent="0.3">
      <c r="A10" t="s">
        <v>63</v>
      </c>
      <c r="B10" t="s">
        <v>64</v>
      </c>
      <c r="C10" t="s">
        <v>65</v>
      </c>
      <c r="D10" t="s">
        <v>66</v>
      </c>
      <c r="E10" t="b">
        <v>1</v>
      </c>
      <c r="F10" t="s">
        <v>67</v>
      </c>
      <c r="G10">
        <v>45851400</v>
      </c>
      <c r="H10">
        <v>-14.6</v>
      </c>
      <c r="I10">
        <v>17</v>
      </c>
      <c r="J10">
        <v>683530000000</v>
      </c>
      <c r="K10">
        <v>646080000000</v>
      </c>
      <c r="L10">
        <v>14908</v>
      </c>
      <c r="M10">
        <v>2023</v>
      </c>
      <c r="N10">
        <v>0.42390974999999997</v>
      </c>
      <c r="O10">
        <v>0.86499999999999999</v>
      </c>
      <c r="P10">
        <v>77.394999999999996</v>
      </c>
      <c r="Q10">
        <v>18.831209179999998</v>
      </c>
      <c r="R10">
        <v>11.18458184</v>
      </c>
      <c r="S10">
        <v>25876.053070000002</v>
      </c>
      <c r="T10">
        <v>38.299999999999997</v>
      </c>
      <c r="U10">
        <v>11.5</v>
      </c>
      <c r="V10">
        <v>26.6</v>
      </c>
      <c r="W10">
        <v>38.6</v>
      </c>
      <c r="X10">
        <v>43.1</v>
      </c>
      <c r="Y10">
        <v>48.3</v>
      </c>
      <c r="Z10">
        <v>15.2</v>
      </c>
      <c r="AA10">
        <v>4.8</v>
      </c>
      <c r="AB10">
        <v>4.5999999999999996</v>
      </c>
      <c r="AC10">
        <v>20.8</v>
      </c>
      <c r="AD10">
        <v>21.9</v>
      </c>
      <c r="AE10">
        <v>996.2</v>
      </c>
      <c r="AF10">
        <v>0.1</v>
      </c>
      <c r="AG10">
        <v>122.1</v>
      </c>
      <c r="AH10">
        <v>49.3</v>
      </c>
      <c r="AI10">
        <v>36.700000000000003</v>
      </c>
      <c r="AJ10">
        <v>67.900000000000006</v>
      </c>
      <c r="AK10">
        <v>15.2</v>
      </c>
      <c r="AL10">
        <v>43.8</v>
      </c>
      <c r="AM10">
        <v>50.8</v>
      </c>
      <c r="AN10">
        <v>94.9</v>
      </c>
      <c r="AO10">
        <v>6.3970000000000002</v>
      </c>
    </row>
    <row r="11" spans="1:41" x14ac:dyDescent="0.3">
      <c r="A11" t="s">
        <v>68</v>
      </c>
      <c r="B11" t="s">
        <v>69</v>
      </c>
      <c r="C11" t="s">
        <v>70</v>
      </c>
      <c r="D11" t="s">
        <v>41</v>
      </c>
      <c r="E11" t="b">
        <v>1</v>
      </c>
      <c r="G11">
        <v>2952360</v>
      </c>
      <c r="J11">
        <v>26260000000</v>
      </c>
      <c r="K11">
        <v>24220000000</v>
      </c>
      <c r="L11">
        <v>8894</v>
      </c>
      <c r="M11">
        <v>2023</v>
      </c>
      <c r="N11">
        <v>0.27154650000000002</v>
      </c>
      <c r="O11">
        <v>0.81100000000000005</v>
      </c>
      <c r="P11">
        <v>75.683000000000007</v>
      </c>
      <c r="Q11">
        <v>14.3838501</v>
      </c>
      <c r="R11">
        <v>11.344978210000001</v>
      </c>
      <c r="S11">
        <v>20220.723190000001</v>
      </c>
      <c r="T11">
        <v>40.5</v>
      </c>
      <c r="U11">
        <v>15.7</v>
      </c>
      <c r="V11">
        <v>29.7</v>
      </c>
      <c r="W11">
        <v>35.4</v>
      </c>
      <c r="X11">
        <v>40.299999999999997</v>
      </c>
      <c r="Y11">
        <v>41.6</v>
      </c>
      <c r="Z11">
        <v>20.9</v>
      </c>
      <c r="AA11">
        <v>4.4000000000000004</v>
      </c>
      <c r="AB11">
        <v>6</v>
      </c>
      <c r="AC11">
        <v>22.5</v>
      </c>
      <c r="AD11">
        <v>16.5</v>
      </c>
      <c r="AE11">
        <v>340</v>
      </c>
      <c r="AF11">
        <v>0.3</v>
      </c>
      <c r="AG11">
        <v>120.2</v>
      </c>
      <c r="AH11">
        <v>42.7</v>
      </c>
      <c r="AI11">
        <v>77.599999999999994</v>
      </c>
      <c r="AJ11">
        <v>60</v>
      </c>
      <c r="AK11">
        <v>20.9</v>
      </c>
      <c r="AL11">
        <v>29.3</v>
      </c>
      <c r="AM11">
        <v>61.8</v>
      </c>
      <c r="AN11">
        <v>63.4</v>
      </c>
      <c r="AO11">
        <v>5.4939999999999998</v>
      </c>
    </row>
    <row r="12" spans="1:41" x14ac:dyDescent="0.3">
      <c r="A12" t="s">
        <v>71</v>
      </c>
      <c r="C12" t="s">
        <v>72</v>
      </c>
      <c r="D12" t="s">
        <v>60</v>
      </c>
      <c r="E12" t="b">
        <v>0</v>
      </c>
      <c r="G12">
        <v>108147</v>
      </c>
      <c r="J12">
        <v>4100000000</v>
      </c>
      <c r="K12">
        <v>3650000000</v>
      </c>
      <c r="L12">
        <v>37911</v>
      </c>
    </row>
    <row r="13" spans="1:41" x14ac:dyDescent="0.3">
      <c r="A13" t="s">
        <v>73</v>
      </c>
      <c r="B13" t="s">
        <v>74</v>
      </c>
      <c r="C13" t="s">
        <v>75</v>
      </c>
      <c r="D13" t="s">
        <v>52</v>
      </c>
      <c r="E13" t="b">
        <v>1</v>
      </c>
      <c r="F13" t="s">
        <v>76</v>
      </c>
      <c r="G13">
        <v>26974000</v>
      </c>
      <c r="H13">
        <v>-13.2</v>
      </c>
      <c r="I13">
        <v>-9.8000000000000007</v>
      </c>
      <c r="J13">
        <v>1770000000000</v>
      </c>
      <c r="K13">
        <v>1780000000000</v>
      </c>
      <c r="L13">
        <v>65681</v>
      </c>
      <c r="M13">
        <v>2018</v>
      </c>
      <c r="N13">
        <v>0.34332526000000002</v>
      </c>
      <c r="O13">
        <v>0.95799999999999996</v>
      </c>
      <c r="P13">
        <v>83.923000000000002</v>
      </c>
      <c r="Q13">
        <v>20.654779430000001</v>
      </c>
      <c r="R13">
        <v>12.869999890000001</v>
      </c>
      <c r="S13">
        <v>58276.876429999997</v>
      </c>
      <c r="T13">
        <v>63</v>
      </c>
      <c r="U13">
        <v>32.1</v>
      </c>
      <c r="V13">
        <v>49.5</v>
      </c>
      <c r="W13">
        <v>71.099999999999994</v>
      </c>
      <c r="X13">
        <v>58.3</v>
      </c>
      <c r="Y13">
        <v>143.80000000000001</v>
      </c>
      <c r="Z13">
        <v>8.4</v>
      </c>
      <c r="AA13">
        <v>4.3</v>
      </c>
      <c r="AB13">
        <v>4.4000000000000004</v>
      </c>
      <c r="AC13">
        <v>23.3</v>
      </c>
      <c r="AD13">
        <v>22.6</v>
      </c>
      <c r="AE13">
        <v>74</v>
      </c>
      <c r="AF13">
        <v>1.4</v>
      </c>
      <c r="AG13">
        <v>195.1</v>
      </c>
      <c r="AH13">
        <v>148.69999999999999</v>
      </c>
      <c r="AI13">
        <v>52.6</v>
      </c>
      <c r="AJ13">
        <v>73.099999999999994</v>
      </c>
      <c r="AK13">
        <v>8.4</v>
      </c>
      <c r="AL13">
        <v>37.4</v>
      </c>
      <c r="AM13">
        <v>26.9</v>
      </c>
      <c r="AN13">
        <v>94.2</v>
      </c>
      <c r="AO13">
        <v>6.9740000000000002</v>
      </c>
    </row>
    <row r="14" spans="1:41" x14ac:dyDescent="0.3">
      <c r="A14" t="s">
        <v>77</v>
      </c>
      <c r="B14" t="s">
        <v>78</v>
      </c>
      <c r="C14" t="s">
        <v>79</v>
      </c>
      <c r="D14" t="s">
        <v>45</v>
      </c>
      <c r="E14" t="b">
        <v>1</v>
      </c>
      <c r="G14">
        <v>9113570</v>
      </c>
      <c r="J14">
        <v>534300000000</v>
      </c>
      <c r="K14">
        <v>511690000000</v>
      </c>
      <c r="L14">
        <v>58627</v>
      </c>
      <c r="M14">
        <v>2022</v>
      </c>
      <c r="N14">
        <v>0.30892930000000002</v>
      </c>
      <c r="O14">
        <v>0.93</v>
      </c>
      <c r="P14">
        <v>81.956000000000003</v>
      </c>
      <c r="Q14">
        <v>16.28428078</v>
      </c>
      <c r="R14">
        <v>12.36146506</v>
      </c>
      <c r="S14">
        <v>63479.208429999999</v>
      </c>
      <c r="T14">
        <v>67.599999999999994</v>
      </c>
      <c r="U14">
        <v>25</v>
      </c>
      <c r="V14">
        <v>49.1</v>
      </c>
      <c r="W14">
        <v>68.599999999999994</v>
      </c>
      <c r="X14">
        <v>63.6</v>
      </c>
      <c r="Y14">
        <v>118.9</v>
      </c>
      <c r="Z14">
        <v>11.8</v>
      </c>
      <c r="AA14">
        <v>2.8</v>
      </c>
      <c r="AB14">
        <v>3.1</v>
      </c>
      <c r="AC14">
        <v>35.299999999999997</v>
      </c>
      <c r="AD14">
        <v>32.700000000000003</v>
      </c>
      <c r="AE14">
        <v>83.4</v>
      </c>
      <c r="AF14">
        <v>1.2</v>
      </c>
      <c r="AG14">
        <v>197.7</v>
      </c>
      <c r="AH14">
        <v>122</v>
      </c>
      <c r="AI14">
        <v>71.7</v>
      </c>
      <c r="AJ14">
        <v>78.5</v>
      </c>
      <c r="AK14">
        <v>11.8</v>
      </c>
      <c r="AL14">
        <v>23.2</v>
      </c>
      <c r="AM14">
        <v>20.6</v>
      </c>
      <c r="AN14">
        <v>76.599999999999994</v>
      </c>
      <c r="AO14">
        <v>6.81</v>
      </c>
    </row>
    <row r="15" spans="1:41" x14ac:dyDescent="0.3">
      <c r="A15" t="s">
        <v>80</v>
      </c>
      <c r="C15" t="s">
        <v>81</v>
      </c>
      <c r="D15" t="s">
        <v>41</v>
      </c>
      <c r="E15" t="b">
        <v>1</v>
      </c>
      <c r="F15" t="s">
        <v>82</v>
      </c>
      <c r="G15">
        <v>10397700</v>
      </c>
      <c r="H15">
        <v>-36.799999999999997</v>
      </c>
      <c r="I15">
        <v>-13.5</v>
      </c>
      <c r="J15">
        <v>78870000000</v>
      </c>
      <c r="K15">
        <v>72360000000</v>
      </c>
      <c r="L15">
        <v>7585</v>
      </c>
      <c r="O15">
        <v>0.78900000000000003</v>
      </c>
      <c r="P15">
        <v>74.429000000000002</v>
      </c>
      <c r="Q15">
        <v>12.90977955</v>
      </c>
      <c r="R15">
        <v>11.06999969</v>
      </c>
      <c r="S15">
        <v>20667.957289999998</v>
      </c>
      <c r="T15">
        <v>29.3</v>
      </c>
      <c r="U15">
        <v>9.6</v>
      </c>
      <c r="V15">
        <v>20.7</v>
      </c>
      <c r="W15">
        <v>27.8</v>
      </c>
      <c r="X15">
        <v>32.6</v>
      </c>
      <c r="Y15">
        <v>44.1</v>
      </c>
      <c r="Z15">
        <v>16.8</v>
      </c>
      <c r="AA15">
        <v>4.9000000000000004</v>
      </c>
      <c r="AB15">
        <v>5</v>
      </c>
      <c r="AC15">
        <v>20.399999999999999</v>
      </c>
      <c r="AD15">
        <v>19.899999999999999</v>
      </c>
      <c r="AE15">
        <v>180.6</v>
      </c>
      <c r="AF15">
        <v>0.6</v>
      </c>
      <c r="AG15">
        <v>114.4</v>
      </c>
      <c r="AH15">
        <v>45.1</v>
      </c>
      <c r="AI15">
        <v>68.2</v>
      </c>
      <c r="AJ15">
        <v>49.1</v>
      </c>
      <c r="AK15">
        <v>16.8</v>
      </c>
      <c r="AL15">
        <v>40.200000000000003</v>
      </c>
      <c r="AM15">
        <v>72</v>
      </c>
      <c r="AN15">
        <v>91.4</v>
      </c>
      <c r="AO15">
        <v>4.875</v>
      </c>
    </row>
    <row r="16" spans="1:41" x14ac:dyDescent="0.3">
      <c r="A16" t="s">
        <v>83</v>
      </c>
      <c r="C16" t="s">
        <v>84</v>
      </c>
      <c r="D16" t="s">
        <v>60</v>
      </c>
      <c r="E16" t="b">
        <v>1</v>
      </c>
      <c r="G16">
        <v>403033</v>
      </c>
      <c r="J16">
        <v>15180000000</v>
      </c>
      <c r="K16">
        <v>14340000000</v>
      </c>
      <c r="L16">
        <v>37659</v>
      </c>
      <c r="O16">
        <v>0.82</v>
      </c>
      <c r="P16">
        <v>74.552000000000007</v>
      </c>
      <c r="Q16">
        <v>11.891379710000001</v>
      </c>
      <c r="R16">
        <v>12.814419040000001</v>
      </c>
      <c r="S16">
        <v>30974.68074</v>
      </c>
      <c r="T16">
        <v>85.4</v>
      </c>
      <c r="U16">
        <v>47.1</v>
      </c>
      <c r="V16">
        <v>68.7</v>
      </c>
      <c r="W16">
        <v>88.7</v>
      </c>
      <c r="X16">
        <v>89.6</v>
      </c>
      <c r="Y16">
        <v>62.8</v>
      </c>
    </row>
    <row r="17" spans="1:41" x14ac:dyDescent="0.3">
      <c r="A17" t="s">
        <v>85</v>
      </c>
      <c r="C17" t="s">
        <v>86</v>
      </c>
      <c r="D17" t="s">
        <v>41</v>
      </c>
      <c r="E17" t="b">
        <v>1</v>
      </c>
      <c r="F17" t="s">
        <v>87</v>
      </c>
      <c r="G17">
        <v>1643330</v>
      </c>
      <c r="H17">
        <v>-20.6</v>
      </c>
      <c r="I17">
        <v>-3.3</v>
      </c>
      <c r="J17">
        <v>47830000000</v>
      </c>
      <c r="K17">
        <v>44660000000</v>
      </c>
      <c r="L17">
        <v>29105</v>
      </c>
      <c r="O17">
        <v>0.89900000000000002</v>
      </c>
      <c r="P17">
        <v>81.284000000000006</v>
      </c>
      <c r="Q17">
        <v>15.92718983</v>
      </c>
      <c r="R17">
        <v>11.130000109999999</v>
      </c>
      <c r="S17">
        <v>52818.795380000003</v>
      </c>
      <c r="T17">
        <v>46.1</v>
      </c>
      <c r="U17">
        <v>21.1</v>
      </c>
      <c r="V17">
        <v>35.200000000000003</v>
      </c>
      <c r="W17">
        <v>43.8</v>
      </c>
      <c r="X17">
        <v>43.8</v>
      </c>
      <c r="Y17">
        <v>125</v>
      </c>
      <c r="AO17">
        <v>6.03</v>
      </c>
    </row>
    <row r="18" spans="1:41" x14ac:dyDescent="0.3">
      <c r="A18" t="s">
        <v>88</v>
      </c>
      <c r="B18" t="s">
        <v>89</v>
      </c>
      <c r="C18" t="s">
        <v>90</v>
      </c>
      <c r="D18" t="s">
        <v>41</v>
      </c>
      <c r="E18" t="b">
        <v>1</v>
      </c>
      <c r="G18">
        <v>175687000</v>
      </c>
      <c r="J18">
        <v>467220000000</v>
      </c>
      <c r="K18">
        <v>422430000000</v>
      </c>
      <c r="L18">
        <v>2659</v>
      </c>
      <c r="M18">
        <v>2022</v>
      </c>
      <c r="N18">
        <v>0.33373155999999998</v>
      </c>
      <c r="O18">
        <v>0.68500000000000005</v>
      </c>
      <c r="P18">
        <v>74.671999999999997</v>
      </c>
      <c r="Q18">
        <v>12.31016827</v>
      </c>
      <c r="R18">
        <v>6.7899999619999996</v>
      </c>
      <c r="S18">
        <v>8497.6586389999993</v>
      </c>
      <c r="T18">
        <v>21.2</v>
      </c>
      <c r="U18">
        <v>2.4</v>
      </c>
      <c r="V18">
        <v>13</v>
      </c>
      <c r="W18">
        <v>25.6</v>
      </c>
      <c r="X18">
        <v>15.3</v>
      </c>
      <c r="Y18">
        <v>38.9</v>
      </c>
      <c r="Z18">
        <v>11.5</v>
      </c>
      <c r="AA18">
        <v>3.2</v>
      </c>
      <c r="AB18">
        <v>3.1</v>
      </c>
      <c r="AC18">
        <v>31.7</v>
      </c>
      <c r="AD18">
        <v>32.200000000000003</v>
      </c>
      <c r="AE18">
        <v>134.4</v>
      </c>
      <c r="AF18">
        <v>0.7</v>
      </c>
      <c r="AG18">
        <v>77</v>
      </c>
      <c r="AH18">
        <v>39.299999999999997</v>
      </c>
      <c r="AI18">
        <v>38.5</v>
      </c>
      <c r="AJ18">
        <v>41.7</v>
      </c>
      <c r="AK18">
        <v>11.5</v>
      </c>
      <c r="AL18">
        <v>56.5</v>
      </c>
      <c r="AM18">
        <v>85.6</v>
      </c>
      <c r="AN18">
        <v>72.900000000000006</v>
      </c>
      <c r="AO18">
        <v>3.851</v>
      </c>
    </row>
    <row r="19" spans="1:41" x14ac:dyDescent="0.3">
      <c r="A19" t="s">
        <v>91</v>
      </c>
      <c r="B19" t="s">
        <v>92</v>
      </c>
      <c r="C19" t="s">
        <v>93</v>
      </c>
      <c r="D19" t="s">
        <v>60</v>
      </c>
      <c r="E19" t="b">
        <v>1</v>
      </c>
      <c r="G19">
        <v>282623</v>
      </c>
      <c r="J19">
        <v>7550000000</v>
      </c>
      <c r="K19">
        <v>6720000000</v>
      </c>
      <c r="L19">
        <v>26721</v>
      </c>
      <c r="M19">
        <v>2016</v>
      </c>
      <c r="N19">
        <v>0.34068036000000002</v>
      </c>
      <c r="O19">
        <v>0.81100000000000005</v>
      </c>
      <c r="P19">
        <v>76.177999999999997</v>
      </c>
      <c r="Q19">
        <v>16.6280018</v>
      </c>
      <c r="R19">
        <v>9.9283568899999999</v>
      </c>
      <c r="S19">
        <v>17327.520469999999</v>
      </c>
    </row>
    <row r="20" spans="1:41" x14ac:dyDescent="0.3">
      <c r="A20" t="s">
        <v>94</v>
      </c>
      <c r="B20" t="s">
        <v>95</v>
      </c>
      <c r="C20" t="s">
        <v>96</v>
      </c>
      <c r="D20" t="s">
        <v>45</v>
      </c>
      <c r="E20" t="b">
        <v>1</v>
      </c>
      <c r="G20">
        <v>8997600</v>
      </c>
      <c r="J20">
        <v>71560000000</v>
      </c>
      <c r="K20">
        <v>71860000000</v>
      </c>
      <c r="L20">
        <v>7953</v>
      </c>
      <c r="M20">
        <v>2020</v>
      </c>
      <c r="N20">
        <v>0.24383356</v>
      </c>
      <c r="O20">
        <v>0.82399999999999995</v>
      </c>
      <c r="P20">
        <v>74.433999999999997</v>
      </c>
      <c r="Q20">
        <v>13.718810080000001</v>
      </c>
      <c r="R20">
        <v>12.335372980000001</v>
      </c>
      <c r="S20">
        <v>26724.870999999999</v>
      </c>
      <c r="T20">
        <v>25.3</v>
      </c>
      <c r="U20">
        <v>9.5</v>
      </c>
      <c r="V20">
        <v>18.399999999999999</v>
      </c>
      <c r="W20">
        <v>25.5</v>
      </c>
      <c r="X20">
        <v>25.9</v>
      </c>
      <c r="Y20">
        <v>65.7</v>
      </c>
      <c r="Z20">
        <v>12.6</v>
      </c>
      <c r="AA20">
        <v>5</v>
      </c>
      <c r="AB20">
        <v>5</v>
      </c>
      <c r="AC20">
        <v>20.100000000000001</v>
      </c>
      <c r="AD20">
        <v>19.899999999999999</v>
      </c>
      <c r="AE20">
        <v>200.3</v>
      </c>
      <c r="AF20">
        <v>0.5</v>
      </c>
      <c r="AG20">
        <v>134.80000000000001</v>
      </c>
      <c r="AH20">
        <v>67.400000000000006</v>
      </c>
      <c r="AI20">
        <v>50.9</v>
      </c>
      <c r="AJ20">
        <v>49.3</v>
      </c>
      <c r="AK20">
        <v>12.6</v>
      </c>
      <c r="AL20">
        <v>31.3</v>
      </c>
      <c r="AM20">
        <v>44.5</v>
      </c>
      <c r="AN20">
        <v>69.3</v>
      </c>
    </row>
    <row r="21" spans="1:41" x14ac:dyDescent="0.3">
      <c r="A21" t="s">
        <v>97</v>
      </c>
      <c r="B21" t="s">
        <v>98</v>
      </c>
      <c r="C21" t="s">
        <v>99</v>
      </c>
      <c r="D21" t="s">
        <v>45</v>
      </c>
      <c r="E21" t="b">
        <v>1</v>
      </c>
      <c r="G21">
        <v>11758600</v>
      </c>
      <c r="J21">
        <v>684860000000</v>
      </c>
      <c r="K21">
        <v>644780000000</v>
      </c>
      <c r="L21">
        <v>58244</v>
      </c>
      <c r="M21">
        <v>2022</v>
      </c>
      <c r="N21">
        <v>0.26375556</v>
      </c>
      <c r="O21">
        <v>0.95099999999999996</v>
      </c>
      <c r="P21">
        <v>82.114999999999995</v>
      </c>
      <c r="Q21">
        <v>18.996030810000001</v>
      </c>
      <c r="R21">
        <v>12.68965045</v>
      </c>
      <c r="S21">
        <v>63582.475350000001</v>
      </c>
      <c r="T21">
        <v>63.6</v>
      </c>
      <c r="U21">
        <v>22.8</v>
      </c>
      <c r="V21">
        <v>45.9</v>
      </c>
      <c r="W21">
        <v>61.9</v>
      </c>
      <c r="X21">
        <v>71.400000000000006</v>
      </c>
      <c r="Y21">
        <v>127.7</v>
      </c>
      <c r="Z21">
        <v>6.6</v>
      </c>
      <c r="AA21">
        <v>4.7</v>
      </c>
      <c r="AB21">
        <v>5.0999999999999996</v>
      </c>
      <c r="AC21">
        <v>21.4</v>
      </c>
      <c r="AD21">
        <v>19.600000000000001</v>
      </c>
      <c r="AE21">
        <v>46.6</v>
      </c>
      <c r="AF21">
        <v>2.1</v>
      </c>
      <c r="AG21">
        <v>173.7</v>
      </c>
      <c r="AH21">
        <v>131</v>
      </c>
      <c r="AI21">
        <v>50.5</v>
      </c>
      <c r="AJ21">
        <v>75.8</v>
      </c>
      <c r="AK21">
        <v>6.6</v>
      </c>
      <c r="AL21">
        <v>34.5</v>
      </c>
      <c r="AM21">
        <v>49.2</v>
      </c>
      <c r="AN21">
        <v>86.4</v>
      </c>
      <c r="AO21">
        <v>6.91</v>
      </c>
    </row>
    <row r="22" spans="1:41" x14ac:dyDescent="0.3">
      <c r="A22" t="s">
        <v>100</v>
      </c>
      <c r="B22" t="s">
        <v>101</v>
      </c>
      <c r="C22" t="s">
        <v>102</v>
      </c>
      <c r="D22" t="s">
        <v>60</v>
      </c>
      <c r="E22" t="b">
        <v>1</v>
      </c>
      <c r="G22">
        <v>422924</v>
      </c>
      <c r="J22">
        <v>3610000000</v>
      </c>
      <c r="K22">
        <v>3080000000</v>
      </c>
      <c r="L22">
        <v>8538</v>
      </c>
      <c r="M22">
        <v>2018</v>
      </c>
      <c r="N22">
        <v>0.39949583999999999</v>
      </c>
      <c r="O22">
        <v>0.72099999999999997</v>
      </c>
      <c r="P22">
        <v>73.566000000000003</v>
      </c>
      <c r="Q22">
        <v>11.98379993</v>
      </c>
      <c r="R22">
        <v>8.7622900010000002</v>
      </c>
      <c r="S22">
        <v>12343.07814</v>
      </c>
      <c r="T22">
        <v>42.3</v>
      </c>
      <c r="U22">
        <v>10.199999999999999</v>
      </c>
      <c r="V22">
        <v>28.3</v>
      </c>
      <c r="W22">
        <v>47.5</v>
      </c>
      <c r="X22">
        <v>33.799999999999997</v>
      </c>
      <c r="Y22">
        <v>78</v>
      </c>
      <c r="AO22">
        <v>6.7110000000000003</v>
      </c>
    </row>
    <row r="23" spans="1:41" x14ac:dyDescent="0.3">
      <c r="A23" t="s">
        <v>103</v>
      </c>
      <c r="B23" t="s">
        <v>104</v>
      </c>
      <c r="C23" t="s">
        <v>105</v>
      </c>
      <c r="D23" t="s">
        <v>49</v>
      </c>
      <c r="E23" t="b">
        <v>1</v>
      </c>
      <c r="G23">
        <v>14814500</v>
      </c>
      <c r="J23">
        <v>22240000000</v>
      </c>
      <c r="K23">
        <v>19670000000</v>
      </c>
      <c r="L23">
        <v>1501</v>
      </c>
      <c r="M23">
        <v>2021</v>
      </c>
      <c r="N23">
        <v>0.34395808</v>
      </c>
      <c r="O23">
        <v>0.51500000000000001</v>
      </c>
      <c r="P23">
        <v>60.774000000000001</v>
      </c>
      <c r="Q23">
        <v>10.446479800000001</v>
      </c>
      <c r="R23">
        <v>3.194200039</v>
      </c>
      <c r="S23">
        <v>3805.5275160000001</v>
      </c>
      <c r="AO23">
        <v>4.3570000000000002</v>
      </c>
    </row>
    <row r="24" spans="1:41" x14ac:dyDescent="0.3">
      <c r="A24" t="s">
        <v>106</v>
      </c>
      <c r="C24" t="s">
        <v>107</v>
      </c>
      <c r="D24" t="s">
        <v>60</v>
      </c>
      <c r="E24" t="b">
        <v>0</v>
      </c>
      <c r="G24">
        <v>64555</v>
      </c>
      <c r="K24">
        <v>8140000000</v>
      </c>
      <c r="L24">
        <v>126120</v>
      </c>
    </row>
    <row r="25" spans="1:41" x14ac:dyDescent="0.3">
      <c r="A25" t="s">
        <v>108</v>
      </c>
      <c r="B25" t="s">
        <v>109</v>
      </c>
      <c r="C25" t="s">
        <v>110</v>
      </c>
      <c r="D25" t="s">
        <v>41</v>
      </c>
      <c r="E25" t="b">
        <v>1</v>
      </c>
      <c r="G25">
        <v>796682</v>
      </c>
      <c r="J25">
        <v>3420000000</v>
      </c>
      <c r="K25">
        <v>3020000000</v>
      </c>
      <c r="L25">
        <v>4295</v>
      </c>
      <c r="M25">
        <v>2022</v>
      </c>
      <c r="N25">
        <v>0.2845992</v>
      </c>
      <c r="O25">
        <v>0.69799999999999995</v>
      </c>
      <c r="P25">
        <v>72.974999999999994</v>
      </c>
      <c r="Q25">
        <v>13.152741839999999</v>
      </c>
      <c r="R25">
        <v>5.8357946619999996</v>
      </c>
      <c r="S25">
        <v>13842.803529999999</v>
      </c>
    </row>
    <row r="26" spans="1:41" x14ac:dyDescent="0.3">
      <c r="A26" t="s">
        <v>111</v>
      </c>
      <c r="B26" t="s">
        <v>112</v>
      </c>
      <c r="C26" t="s">
        <v>113</v>
      </c>
      <c r="D26" t="s">
        <v>66</v>
      </c>
      <c r="E26" t="b">
        <v>1</v>
      </c>
      <c r="G26">
        <v>12581800</v>
      </c>
      <c r="J26">
        <v>56340000000</v>
      </c>
      <c r="K26">
        <v>45140000000</v>
      </c>
      <c r="L26">
        <v>4478</v>
      </c>
      <c r="M26">
        <v>2023</v>
      </c>
      <c r="N26">
        <v>0.42050114</v>
      </c>
      <c r="O26">
        <v>0.73299999999999998</v>
      </c>
      <c r="P26">
        <v>68.581000000000003</v>
      </c>
      <c r="Q26">
        <v>15.610650059999999</v>
      </c>
      <c r="R26">
        <v>10.021223190000001</v>
      </c>
      <c r="S26">
        <v>9445.2448679999998</v>
      </c>
      <c r="T26">
        <v>25.5</v>
      </c>
      <c r="U26">
        <v>8.6</v>
      </c>
      <c r="V26">
        <v>18.100000000000001</v>
      </c>
      <c r="W26">
        <v>26.6</v>
      </c>
      <c r="X26">
        <v>20.7</v>
      </c>
      <c r="Y26">
        <v>45.6</v>
      </c>
      <c r="Z26">
        <v>12.6</v>
      </c>
      <c r="AA26">
        <v>7</v>
      </c>
      <c r="AB26">
        <v>6.1</v>
      </c>
      <c r="AC26">
        <v>14.3</v>
      </c>
      <c r="AD26">
        <v>16.399999999999999</v>
      </c>
      <c r="AE26">
        <v>121.1</v>
      </c>
      <c r="AF26">
        <v>0.8</v>
      </c>
      <c r="AO26">
        <v>5.8680000000000003</v>
      </c>
    </row>
    <row r="27" spans="1:41" x14ac:dyDescent="0.3">
      <c r="A27" t="s">
        <v>114</v>
      </c>
      <c r="B27" t="s">
        <v>115</v>
      </c>
      <c r="C27" t="s">
        <v>116</v>
      </c>
      <c r="D27" t="s">
        <v>45</v>
      </c>
      <c r="E27" t="b">
        <v>1</v>
      </c>
      <c r="G27">
        <v>3140100</v>
      </c>
      <c r="J27">
        <v>28810000000</v>
      </c>
      <c r="K27">
        <v>27510000000</v>
      </c>
      <c r="L27">
        <v>9174</v>
      </c>
      <c r="M27">
        <v>2011</v>
      </c>
      <c r="N27">
        <v>0.33030185000000001</v>
      </c>
      <c r="O27">
        <v>0.80400000000000005</v>
      </c>
      <c r="P27">
        <v>77.849999999999994</v>
      </c>
      <c r="Q27">
        <v>13.16394043</v>
      </c>
      <c r="R27">
        <v>10.97000027</v>
      </c>
      <c r="S27">
        <v>19827.48588</v>
      </c>
      <c r="T27">
        <v>35.700000000000003</v>
      </c>
      <c r="U27">
        <v>7.3</v>
      </c>
      <c r="V27">
        <v>23.4</v>
      </c>
      <c r="W27">
        <v>36.700000000000003</v>
      </c>
      <c r="X27">
        <v>28.2</v>
      </c>
      <c r="Y27">
        <v>67.3</v>
      </c>
      <c r="Z27">
        <v>13.2</v>
      </c>
      <c r="AA27">
        <v>2.9</v>
      </c>
      <c r="AB27">
        <v>2.9</v>
      </c>
      <c r="AC27">
        <v>34.799999999999997</v>
      </c>
      <c r="AD27">
        <v>34.4</v>
      </c>
      <c r="AE27">
        <v>101.7</v>
      </c>
      <c r="AF27">
        <v>1</v>
      </c>
      <c r="AG27">
        <v>136.80000000000001</v>
      </c>
      <c r="AH27">
        <v>68.400000000000006</v>
      </c>
      <c r="AI27">
        <v>58.8</v>
      </c>
      <c r="AJ27">
        <v>54.9</v>
      </c>
      <c r="AK27">
        <v>13.2</v>
      </c>
      <c r="AL27">
        <v>25.9</v>
      </c>
      <c r="AM27">
        <v>59.7</v>
      </c>
      <c r="AN27">
        <v>82.9</v>
      </c>
      <c r="AO27">
        <v>6.1360000000000001</v>
      </c>
    </row>
    <row r="28" spans="1:41" x14ac:dyDescent="0.3">
      <c r="A28" t="s">
        <v>117</v>
      </c>
      <c r="B28" t="s">
        <v>118</v>
      </c>
      <c r="C28" t="s">
        <v>119</v>
      </c>
      <c r="D28" t="s">
        <v>49</v>
      </c>
      <c r="E28" t="b">
        <v>1</v>
      </c>
      <c r="G28">
        <v>2562120</v>
      </c>
      <c r="J28">
        <v>19400000000</v>
      </c>
      <c r="K28">
        <v>19400000000</v>
      </c>
      <c r="L28">
        <v>7572</v>
      </c>
      <c r="M28">
        <v>2015</v>
      </c>
      <c r="N28">
        <v>0.54907360000000005</v>
      </c>
      <c r="O28">
        <v>0.73099999999999998</v>
      </c>
      <c r="P28">
        <v>69.162999999999997</v>
      </c>
      <c r="Q28">
        <v>11.425680160000001</v>
      </c>
      <c r="R28">
        <v>10.478</v>
      </c>
      <c r="S28">
        <v>16983.77103</v>
      </c>
      <c r="T28">
        <v>41.7</v>
      </c>
      <c r="U28">
        <v>6.1</v>
      </c>
      <c r="V28">
        <v>26.2</v>
      </c>
      <c r="W28">
        <v>29.9</v>
      </c>
      <c r="X28">
        <v>26.6</v>
      </c>
      <c r="Y28">
        <v>72.099999999999994</v>
      </c>
      <c r="AO28">
        <v>3.4380000000000002</v>
      </c>
    </row>
    <row r="29" spans="1:41" x14ac:dyDescent="0.3">
      <c r="A29" t="s">
        <v>120</v>
      </c>
      <c r="B29" t="s">
        <v>121</v>
      </c>
      <c r="C29" t="s">
        <v>122</v>
      </c>
      <c r="D29" t="s">
        <v>66</v>
      </c>
      <c r="E29" t="b">
        <v>1</v>
      </c>
      <c r="F29" t="s">
        <v>123</v>
      </c>
      <c r="G29">
        <v>212812000</v>
      </c>
      <c r="H29">
        <v>-28.4</v>
      </c>
      <c r="I29">
        <v>-3.2</v>
      </c>
      <c r="J29">
        <v>2130000000000</v>
      </c>
      <c r="K29">
        <v>2190000000000</v>
      </c>
      <c r="L29">
        <v>9990</v>
      </c>
      <c r="M29">
        <v>2023</v>
      </c>
      <c r="N29">
        <v>0.51639440000000003</v>
      </c>
      <c r="O29">
        <v>0.78600000000000003</v>
      </c>
      <c r="P29">
        <v>75.847999999999999</v>
      </c>
      <c r="Q29">
        <v>15.7927103</v>
      </c>
      <c r="R29">
        <v>8.4253717520000002</v>
      </c>
      <c r="S29">
        <v>18011.285459999999</v>
      </c>
      <c r="T29">
        <v>28.6</v>
      </c>
      <c r="U29">
        <v>8.1999999999999993</v>
      </c>
      <c r="V29">
        <v>19.7</v>
      </c>
      <c r="W29">
        <v>29.1</v>
      </c>
      <c r="X29">
        <v>23.8</v>
      </c>
      <c r="Y29">
        <v>46.6</v>
      </c>
      <c r="Z29">
        <v>15.1</v>
      </c>
      <c r="AA29">
        <v>4.7</v>
      </c>
      <c r="AB29">
        <v>4.5999999999999996</v>
      </c>
      <c r="AC29">
        <v>21.3</v>
      </c>
      <c r="AD29">
        <v>21.6</v>
      </c>
      <c r="AE29">
        <v>189.8</v>
      </c>
      <c r="AF29">
        <v>0.5</v>
      </c>
      <c r="AG29">
        <v>117.8</v>
      </c>
      <c r="AH29">
        <v>47.6</v>
      </c>
      <c r="AI29">
        <v>35.799999999999997</v>
      </c>
      <c r="AJ29">
        <v>59.2</v>
      </c>
      <c r="AK29">
        <v>15.1</v>
      </c>
      <c r="AL29">
        <v>40.5</v>
      </c>
      <c r="AM29">
        <v>52.8</v>
      </c>
      <c r="AN29">
        <v>91.8</v>
      </c>
      <c r="AO29">
        <v>6.4939999999999998</v>
      </c>
    </row>
    <row r="30" spans="1:41" x14ac:dyDescent="0.3">
      <c r="A30" t="s">
        <v>124</v>
      </c>
      <c r="C30" t="s">
        <v>125</v>
      </c>
      <c r="D30" t="s">
        <v>60</v>
      </c>
      <c r="E30" t="b">
        <v>0</v>
      </c>
      <c r="G30">
        <v>39732</v>
      </c>
      <c r="K30">
        <v>1510000000</v>
      </c>
      <c r="L30">
        <v>37900</v>
      </c>
    </row>
    <row r="31" spans="1:41" x14ac:dyDescent="0.3">
      <c r="A31" t="s">
        <v>126</v>
      </c>
      <c r="C31" t="s">
        <v>127</v>
      </c>
      <c r="D31" t="s">
        <v>41</v>
      </c>
      <c r="E31" t="b">
        <v>1</v>
      </c>
      <c r="G31">
        <v>466330</v>
      </c>
      <c r="J31">
        <v>16010000000</v>
      </c>
      <c r="K31">
        <v>15130000000</v>
      </c>
      <c r="L31">
        <v>34325</v>
      </c>
      <c r="O31">
        <v>0.83699999999999997</v>
      </c>
      <c r="P31">
        <v>75.326999999999998</v>
      </c>
      <c r="Q31">
        <v>13.698619839999999</v>
      </c>
      <c r="R31">
        <v>9.282</v>
      </c>
      <c r="S31">
        <v>75826.873380000005</v>
      </c>
      <c r="T31">
        <v>46.1</v>
      </c>
      <c r="U31">
        <v>17</v>
      </c>
      <c r="V31">
        <v>33.4</v>
      </c>
      <c r="W31">
        <v>65.900000000000006</v>
      </c>
      <c r="X31">
        <v>29</v>
      </c>
      <c r="Y31">
        <v>136.80000000000001</v>
      </c>
    </row>
    <row r="32" spans="1:41" x14ac:dyDescent="0.3">
      <c r="A32" t="s">
        <v>128</v>
      </c>
      <c r="B32" t="s">
        <v>129</v>
      </c>
      <c r="C32" t="s">
        <v>130</v>
      </c>
      <c r="D32" t="s">
        <v>45</v>
      </c>
      <c r="E32" t="b">
        <v>1</v>
      </c>
      <c r="G32">
        <v>6714560</v>
      </c>
      <c r="J32">
        <v>117010000000</v>
      </c>
      <c r="K32">
        <v>102400000000</v>
      </c>
      <c r="L32">
        <v>17426</v>
      </c>
      <c r="M32">
        <v>2022</v>
      </c>
      <c r="N32">
        <v>0.38201501999999998</v>
      </c>
      <c r="O32">
        <v>0.84499999999999997</v>
      </c>
      <c r="P32">
        <v>75.635999999999996</v>
      </c>
      <c r="Q32">
        <v>15.3166399</v>
      </c>
      <c r="R32">
        <v>11.45453092</v>
      </c>
      <c r="S32">
        <v>32174.93003</v>
      </c>
      <c r="T32">
        <v>39.299999999999997</v>
      </c>
      <c r="U32">
        <v>11.7</v>
      </c>
      <c r="V32">
        <v>27.3</v>
      </c>
      <c r="W32">
        <v>40.5</v>
      </c>
      <c r="X32">
        <v>38.700000000000003</v>
      </c>
      <c r="Y32">
        <v>86.3</v>
      </c>
      <c r="Z32">
        <v>9.1</v>
      </c>
      <c r="AA32">
        <v>4.3</v>
      </c>
      <c r="AB32">
        <v>4.5999999999999996</v>
      </c>
      <c r="AC32">
        <v>23.4</v>
      </c>
      <c r="AD32">
        <v>21.7</v>
      </c>
      <c r="AE32">
        <v>65.8</v>
      </c>
      <c r="AF32">
        <v>1.5</v>
      </c>
      <c r="AG32">
        <v>148.30000000000001</v>
      </c>
      <c r="AH32">
        <v>88.2</v>
      </c>
      <c r="AI32">
        <v>64.099999999999994</v>
      </c>
      <c r="AJ32">
        <v>58.2</v>
      </c>
      <c r="AK32">
        <v>9.1</v>
      </c>
      <c r="AL32">
        <v>29.1</v>
      </c>
      <c r="AM32">
        <v>62.8</v>
      </c>
      <c r="AN32">
        <v>81.5</v>
      </c>
      <c r="AO32">
        <v>5.5540000000000003</v>
      </c>
    </row>
    <row r="33" spans="1:41" x14ac:dyDescent="0.3">
      <c r="A33" t="s">
        <v>131</v>
      </c>
      <c r="B33" t="s">
        <v>132</v>
      </c>
      <c r="C33" t="s">
        <v>133</v>
      </c>
      <c r="D33" t="s">
        <v>49</v>
      </c>
      <c r="E33" t="b">
        <v>1</v>
      </c>
      <c r="G33">
        <v>24074600</v>
      </c>
      <c r="J33">
        <v>27060000000</v>
      </c>
      <c r="K33">
        <v>20320000000</v>
      </c>
      <c r="L33">
        <v>1124</v>
      </c>
      <c r="M33">
        <v>2021</v>
      </c>
      <c r="N33">
        <v>0.37391287000000001</v>
      </c>
      <c r="O33">
        <v>0.45900000000000002</v>
      </c>
      <c r="P33">
        <v>61.091999999999999</v>
      </c>
      <c r="Q33">
        <v>8.7333402630000005</v>
      </c>
      <c r="R33">
        <v>2.266550064</v>
      </c>
      <c r="S33">
        <v>2390.5277780000001</v>
      </c>
      <c r="AO33">
        <v>4.383</v>
      </c>
    </row>
    <row r="34" spans="1:41" x14ac:dyDescent="0.3">
      <c r="A34" t="s">
        <v>134</v>
      </c>
      <c r="B34" t="s">
        <v>135</v>
      </c>
      <c r="C34" t="s">
        <v>136</v>
      </c>
      <c r="D34" t="s">
        <v>49</v>
      </c>
      <c r="E34" t="b">
        <v>1</v>
      </c>
      <c r="G34">
        <v>14390000</v>
      </c>
      <c r="J34">
        <v>6750000000</v>
      </c>
      <c r="K34">
        <v>3960000000</v>
      </c>
      <c r="L34">
        <v>469</v>
      </c>
      <c r="M34">
        <v>2020</v>
      </c>
      <c r="N34">
        <v>0.37456086</v>
      </c>
      <c r="O34">
        <v>0.439</v>
      </c>
      <c r="P34">
        <v>63.651000000000003</v>
      </c>
      <c r="Q34">
        <v>9.8294238790000001</v>
      </c>
      <c r="R34">
        <v>3.4739355559999998</v>
      </c>
      <c r="S34">
        <v>858.91556809999997</v>
      </c>
    </row>
    <row r="35" spans="1:41" x14ac:dyDescent="0.3">
      <c r="A35" t="s">
        <v>137</v>
      </c>
      <c r="C35" t="s">
        <v>138</v>
      </c>
      <c r="D35" t="s">
        <v>41</v>
      </c>
      <c r="E35" t="b">
        <v>1</v>
      </c>
      <c r="G35">
        <v>17848000</v>
      </c>
      <c r="J35">
        <v>49800000000</v>
      </c>
      <c r="K35">
        <v>42820000000</v>
      </c>
      <c r="L35">
        <v>2790</v>
      </c>
      <c r="O35">
        <v>0.60599999999999998</v>
      </c>
      <c r="P35">
        <v>70.668000000000006</v>
      </c>
      <c r="Q35">
        <v>11.197892189999999</v>
      </c>
      <c r="R35">
        <v>5.197100163</v>
      </c>
      <c r="S35">
        <v>4931.016842</v>
      </c>
      <c r="T35">
        <v>33</v>
      </c>
      <c r="U35">
        <v>9.1</v>
      </c>
      <c r="V35">
        <v>22.6</v>
      </c>
      <c r="W35">
        <v>40</v>
      </c>
      <c r="X35">
        <v>22.6</v>
      </c>
      <c r="Y35">
        <v>30.3</v>
      </c>
      <c r="AO35">
        <v>4.3410000000000002</v>
      </c>
    </row>
    <row r="36" spans="1:41" x14ac:dyDescent="0.3">
      <c r="A36" t="s">
        <v>139</v>
      </c>
      <c r="B36" t="s">
        <v>140</v>
      </c>
      <c r="C36" t="s">
        <v>141</v>
      </c>
      <c r="D36" t="s">
        <v>49</v>
      </c>
      <c r="E36" t="b">
        <v>1</v>
      </c>
      <c r="G36">
        <v>29879300</v>
      </c>
      <c r="J36">
        <v>56010000000</v>
      </c>
      <c r="K36">
        <v>49280000000</v>
      </c>
      <c r="L36">
        <v>1875</v>
      </c>
      <c r="M36">
        <v>2021</v>
      </c>
      <c r="N36">
        <v>0.42176074000000002</v>
      </c>
      <c r="O36">
        <v>0.58799999999999997</v>
      </c>
      <c r="P36">
        <v>63.7</v>
      </c>
      <c r="Q36">
        <v>10.79187965</v>
      </c>
      <c r="R36">
        <v>6.5741804119999996</v>
      </c>
      <c r="S36">
        <v>4746.2658199999996</v>
      </c>
      <c r="T36">
        <v>39.6</v>
      </c>
      <c r="U36">
        <v>18.7</v>
      </c>
      <c r="V36">
        <v>30.5</v>
      </c>
      <c r="W36">
        <v>36.5</v>
      </c>
      <c r="X36">
        <v>45.7</v>
      </c>
      <c r="Y36">
        <v>10.7</v>
      </c>
      <c r="Z36">
        <v>46.7</v>
      </c>
      <c r="AA36">
        <v>9.1</v>
      </c>
      <c r="AB36">
        <v>10.5</v>
      </c>
      <c r="AC36">
        <v>11</v>
      </c>
      <c r="AD36">
        <v>9.6</v>
      </c>
      <c r="AE36">
        <v>909.8</v>
      </c>
      <c r="AF36">
        <v>0.1</v>
      </c>
      <c r="AO36">
        <v>4.8869999999999996</v>
      </c>
    </row>
    <row r="37" spans="1:41" x14ac:dyDescent="0.3">
      <c r="A37" t="s">
        <v>142</v>
      </c>
      <c r="B37" t="s">
        <v>143</v>
      </c>
      <c r="C37" t="s">
        <v>144</v>
      </c>
      <c r="D37" t="s">
        <v>60</v>
      </c>
      <c r="E37" t="b">
        <v>1</v>
      </c>
      <c r="F37" t="s">
        <v>145</v>
      </c>
      <c r="G37">
        <v>40126700</v>
      </c>
      <c r="H37">
        <v>-9</v>
      </c>
      <c r="I37">
        <v>0.4</v>
      </c>
      <c r="J37">
        <v>2230000000000</v>
      </c>
      <c r="K37">
        <v>2140000000000</v>
      </c>
      <c r="L37">
        <v>55458</v>
      </c>
      <c r="M37">
        <v>2020</v>
      </c>
      <c r="N37">
        <v>0.29851684000000001</v>
      </c>
      <c r="O37">
        <v>0.93899999999999995</v>
      </c>
      <c r="P37">
        <v>82.63</v>
      </c>
      <c r="Q37">
        <v>15.88825989</v>
      </c>
      <c r="R37">
        <v>13.869999890000001</v>
      </c>
      <c r="S37">
        <v>54688.417289999998</v>
      </c>
      <c r="T37">
        <v>60.7</v>
      </c>
      <c r="U37">
        <v>31.9</v>
      </c>
      <c r="V37">
        <v>48.1</v>
      </c>
      <c r="W37">
        <v>67.5</v>
      </c>
      <c r="X37">
        <v>59</v>
      </c>
      <c r="Y37">
        <v>119.4</v>
      </c>
      <c r="Z37">
        <v>9.4</v>
      </c>
      <c r="AA37">
        <v>4.4000000000000004</v>
      </c>
      <c r="AB37">
        <v>5.3</v>
      </c>
      <c r="AC37">
        <v>22.8</v>
      </c>
      <c r="AD37">
        <v>18.8</v>
      </c>
      <c r="AE37">
        <v>83.3</v>
      </c>
      <c r="AF37">
        <v>1.2</v>
      </c>
      <c r="AG37">
        <v>170.5</v>
      </c>
      <c r="AH37">
        <v>123.6</v>
      </c>
      <c r="AI37">
        <v>54.2</v>
      </c>
      <c r="AJ37">
        <v>68.599999999999994</v>
      </c>
      <c r="AK37">
        <v>9.4</v>
      </c>
      <c r="AL37">
        <v>33.5</v>
      </c>
      <c r="AM37">
        <v>29.8</v>
      </c>
      <c r="AN37">
        <v>55.9</v>
      </c>
      <c r="AO37">
        <v>6.8029999999999999</v>
      </c>
    </row>
    <row r="38" spans="1:41" x14ac:dyDescent="0.3">
      <c r="A38" t="s">
        <v>146</v>
      </c>
      <c r="B38" t="s">
        <v>147</v>
      </c>
      <c r="C38" t="s">
        <v>148</v>
      </c>
      <c r="D38" t="s">
        <v>49</v>
      </c>
      <c r="E38" t="b">
        <v>1</v>
      </c>
      <c r="G38">
        <v>527326</v>
      </c>
      <c r="J38">
        <v>2790000000</v>
      </c>
      <c r="K38">
        <v>2590000000</v>
      </c>
      <c r="L38">
        <v>5283</v>
      </c>
      <c r="M38">
        <v>2015</v>
      </c>
      <c r="N38">
        <v>0.42381087000000001</v>
      </c>
      <c r="O38">
        <v>0.66800000000000004</v>
      </c>
      <c r="P38">
        <v>76.058999999999997</v>
      </c>
      <c r="Q38">
        <v>11.367097169999999</v>
      </c>
      <c r="R38">
        <v>6.0900390499999997</v>
      </c>
      <c r="S38">
        <v>8165.3791719999999</v>
      </c>
    </row>
    <row r="39" spans="1:41" x14ac:dyDescent="0.3">
      <c r="A39" t="s">
        <v>149</v>
      </c>
      <c r="C39" t="s">
        <v>150</v>
      </c>
      <c r="D39" t="s">
        <v>60</v>
      </c>
      <c r="E39" t="b">
        <v>0</v>
      </c>
      <c r="G39">
        <v>75844</v>
      </c>
      <c r="K39">
        <v>7130000000</v>
      </c>
      <c r="L39">
        <v>93972</v>
      </c>
      <c r="T39">
        <v>108.2</v>
      </c>
      <c r="U39">
        <v>76.3</v>
      </c>
      <c r="V39">
        <v>94.3</v>
      </c>
      <c r="W39">
        <v>113.9</v>
      </c>
      <c r="X39">
        <v>96.6</v>
      </c>
      <c r="Y39">
        <v>149.69999999999999</v>
      </c>
    </row>
    <row r="40" spans="1:41" x14ac:dyDescent="0.3">
      <c r="A40" t="s">
        <v>151</v>
      </c>
      <c r="B40" t="s">
        <v>152</v>
      </c>
      <c r="C40" t="s">
        <v>153</v>
      </c>
      <c r="D40" t="s">
        <v>49</v>
      </c>
      <c r="E40" t="b">
        <v>1</v>
      </c>
      <c r="G40">
        <v>5513280</v>
      </c>
      <c r="J40">
        <v>2930000000</v>
      </c>
      <c r="K40">
        <v>2560000000</v>
      </c>
      <c r="L40">
        <v>532</v>
      </c>
      <c r="M40">
        <v>2021</v>
      </c>
      <c r="N40">
        <v>0.43034457999999998</v>
      </c>
      <c r="O40">
        <v>0.41399999999999998</v>
      </c>
      <c r="P40">
        <v>57.408000000000001</v>
      </c>
      <c r="Q40">
        <v>7.4357677779999998</v>
      </c>
      <c r="R40">
        <v>3.989431459</v>
      </c>
      <c r="S40">
        <v>1099.8606810000001</v>
      </c>
    </row>
    <row r="41" spans="1:41" x14ac:dyDescent="0.3">
      <c r="A41" t="s">
        <v>154</v>
      </c>
      <c r="B41" t="s">
        <v>155</v>
      </c>
      <c r="C41" t="s">
        <v>156</v>
      </c>
      <c r="D41" t="s">
        <v>49</v>
      </c>
      <c r="E41" t="b">
        <v>1</v>
      </c>
      <c r="G41">
        <v>21003700</v>
      </c>
      <c r="J41">
        <v>18790000000</v>
      </c>
      <c r="K41">
        <v>17640000000</v>
      </c>
      <c r="L41">
        <v>895</v>
      </c>
      <c r="M41">
        <v>2022</v>
      </c>
      <c r="N41">
        <v>0.37357685000000002</v>
      </c>
      <c r="O41">
        <v>0.41599999999999998</v>
      </c>
      <c r="P41">
        <v>55.069000000000003</v>
      </c>
      <c r="Q41">
        <v>8.3475902309999999</v>
      </c>
      <c r="R41">
        <v>2.334984892</v>
      </c>
      <c r="S41">
        <v>1748.000992</v>
      </c>
      <c r="AO41">
        <v>4.3840000000000003</v>
      </c>
    </row>
    <row r="42" spans="1:41" x14ac:dyDescent="0.3">
      <c r="A42" t="s">
        <v>157</v>
      </c>
      <c r="B42" t="s">
        <v>158</v>
      </c>
      <c r="C42" t="s">
        <v>159</v>
      </c>
      <c r="D42" t="s">
        <v>66</v>
      </c>
      <c r="E42" t="b">
        <v>1</v>
      </c>
      <c r="F42" t="s">
        <v>67</v>
      </c>
      <c r="G42">
        <v>19859900</v>
      </c>
      <c r="H42">
        <v>-22.6</v>
      </c>
      <c r="I42">
        <v>1.2</v>
      </c>
      <c r="J42">
        <v>343820000000</v>
      </c>
      <c r="K42">
        <v>335530000000</v>
      </c>
      <c r="L42">
        <v>17312</v>
      </c>
      <c r="M42">
        <v>2022</v>
      </c>
      <c r="N42">
        <v>0.43042782000000002</v>
      </c>
      <c r="O42">
        <v>0.878</v>
      </c>
      <c r="P42">
        <v>81.167000000000002</v>
      </c>
      <c r="Q42">
        <v>16.912420269999998</v>
      </c>
      <c r="R42">
        <v>11.291053939999999</v>
      </c>
      <c r="S42">
        <v>28047.1698</v>
      </c>
      <c r="T42">
        <v>35.799999999999997</v>
      </c>
      <c r="U42">
        <v>11.3</v>
      </c>
      <c r="V42">
        <v>25.1</v>
      </c>
      <c r="W42">
        <v>38.9</v>
      </c>
      <c r="X42">
        <v>34.299999999999997</v>
      </c>
      <c r="Y42">
        <v>56.7</v>
      </c>
      <c r="Z42">
        <v>15</v>
      </c>
      <c r="AA42">
        <v>4.5999999999999996</v>
      </c>
      <c r="AB42">
        <v>3.9</v>
      </c>
      <c r="AC42">
        <v>21.7</v>
      </c>
      <c r="AD42">
        <v>25.8</v>
      </c>
      <c r="AE42">
        <v>119.5</v>
      </c>
      <c r="AF42">
        <v>0.8</v>
      </c>
      <c r="AG42">
        <v>112.1</v>
      </c>
      <c r="AH42">
        <v>58.1</v>
      </c>
      <c r="AI42">
        <v>39.5</v>
      </c>
      <c r="AJ42">
        <v>63.7</v>
      </c>
      <c r="AK42">
        <v>15</v>
      </c>
      <c r="AL42">
        <v>36.200000000000003</v>
      </c>
      <c r="AM42">
        <v>77.400000000000006</v>
      </c>
      <c r="AN42">
        <v>95.6</v>
      </c>
      <c r="AO42">
        <v>6.3609999999999998</v>
      </c>
    </row>
    <row r="43" spans="1:41" x14ac:dyDescent="0.3">
      <c r="A43" t="s">
        <v>160</v>
      </c>
      <c r="B43" t="s">
        <v>161</v>
      </c>
      <c r="C43" t="s">
        <v>162</v>
      </c>
      <c r="D43" t="s">
        <v>41</v>
      </c>
      <c r="E43" t="b">
        <v>1</v>
      </c>
      <c r="F43" t="s">
        <v>163</v>
      </c>
      <c r="G43">
        <v>1416100000</v>
      </c>
      <c r="H43">
        <v>-40.9</v>
      </c>
      <c r="I43">
        <v>-23.4</v>
      </c>
      <c r="J43">
        <v>19230000000000</v>
      </c>
      <c r="K43">
        <v>17790000000000</v>
      </c>
      <c r="L43">
        <v>13581</v>
      </c>
      <c r="M43">
        <v>2021</v>
      </c>
      <c r="N43">
        <v>0.35743752000000001</v>
      </c>
      <c r="O43">
        <v>0.79700000000000004</v>
      </c>
      <c r="P43">
        <v>77.953000000000003</v>
      </c>
      <c r="Q43">
        <v>15.478749499999999</v>
      </c>
      <c r="R43">
        <v>8.0361815970000006</v>
      </c>
      <c r="S43">
        <v>22029.222529999999</v>
      </c>
      <c r="T43">
        <v>29.4</v>
      </c>
      <c r="U43">
        <v>10.6</v>
      </c>
      <c r="V43">
        <v>21.2</v>
      </c>
      <c r="W43">
        <v>33.5</v>
      </c>
      <c r="X43">
        <v>19.899999999999999</v>
      </c>
      <c r="Y43">
        <v>88.1</v>
      </c>
      <c r="Z43">
        <v>25.2</v>
      </c>
      <c r="AA43">
        <v>1.6</v>
      </c>
      <c r="AB43">
        <v>2</v>
      </c>
      <c r="AC43">
        <v>61.5</v>
      </c>
      <c r="AD43">
        <v>50.1</v>
      </c>
      <c r="AE43">
        <v>184.3</v>
      </c>
      <c r="AF43">
        <v>0.5</v>
      </c>
      <c r="AG43">
        <v>127.7</v>
      </c>
      <c r="AH43">
        <v>90.4</v>
      </c>
      <c r="AI43">
        <v>76.5</v>
      </c>
      <c r="AJ43">
        <v>68.7</v>
      </c>
      <c r="AK43">
        <v>25.2</v>
      </c>
      <c r="AL43">
        <v>38.700000000000003</v>
      </c>
      <c r="AM43">
        <v>76.7</v>
      </c>
      <c r="AN43">
        <v>73.599999999999994</v>
      </c>
      <c r="AO43">
        <v>5.9210000000000003</v>
      </c>
    </row>
    <row r="44" spans="1:41" x14ac:dyDescent="0.3">
      <c r="A44" t="s">
        <v>164</v>
      </c>
      <c r="B44" t="s">
        <v>165</v>
      </c>
      <c r="C44" t="s">
        <v>166</v>
      </c>
      <c r="D44" t="s">
        <v>66</v>
      </c>
      <c r="E44" t="b">
        <v>1</v>
      </c>
      <c r="F44" t="s">
        <v>67</v>
      </c>
      <c r="G44">
        <v>53425600</v>
      </c>
      <c r="H44">
        <v>-5.2</v>
      </c>
      <c r="I44">
        <v>31.7</v>
      </c>
      <c r="J44">
        <v>427770000000</v>
      </c>
      <c r="K44">
        <v>363540000000</v>
      </c>
      <c r="L44">
        <v>8007</v>
      </c>
      <c r="M44">
        <v>2023</v>
      </c>
      <c r="N44">
        <v>0.53881924999999997</v>
      </c>
      <c r="O44">
        <v>0.78800000000000003</v>
      </c>
      <c r="P44">
        <v>77.724999999999994</v>
      </c>
      <c r="Q44">
        <v>14.286410330000001</v>
      </c>
      <c r="R44">
        <v>9.0315815970000006</v>
      </c>
      <c r="S44">
        <v>18665.949670000002</v>
      </c>
      <c r="T44">
        <v>28</v>
      </c>
      <c r="U44">
        <v>9.4</v>
      </c>
      <c r="V44">
        <v>19.899999999999999</v>
      </c>
      <c r="W44">
        <v>29.4</v>
      </c>
      <c r="X44">
        <v>23.1</v>
      </c>
      <c r="Y44">
        <v>41</v>
      </c>
      <c r="Z44">
        <v>17.399999999999999</v>
      </c>
      <c r="AA44">
        <v>5.0999999999999996</v>
      </c>
      <c r="AB44">
        <v>5.5</v>
      </c>
      <c r="AC44">
        <v>19.7</v>
      </c>
      <c r="AD44">
        <v>18.100000000000001</v>
      </c>
      <c r="AE44">
        <v>239.6</v>
      </c>
      <c r="AF44">
        <v>0.4</v>
      </c>
      <c r="AG44">
        <v>106.3</v>
      </c>
      <c r="AH44">
        <v>42</v>
      </c>
      <c r="AI44">
        <v>39</v>
      </c>
      <c r="AJ44">
        <v>68.900000000000006</v>
      </c>
      <c r="AK44">
        <v>17.399999999999999</v>
      </c>
      <c r="AL44">
        <v>46.7</v>
      </c>
      <c r="AM44">
        <v>62.2</v>
      </c>
      <c r="AN44">
        <v>82.3</v>
      </c>
      <c r="AO44">
        <v>6.0039999999999996</v>
      </c>
    </row>
    <row r="45" spans="1:41" x14ac:dyDescent="0.3">
      <c r="A45" t="s">
        <v>167</v>
      </c>
      <c r="B45" t="s">
        <v>168</v>
      </c>
      <c r="C45" t="s">
        <v>169</v>
      </c>
      <c r="D45" t="s">
        <v>49</v>
      </c>
      <c r="E45" t="b">
        <v>1</v>
      </c>
      <c r="G45">
        <v>882847</v>
      </c>
      <c r="J45">
        <v>1550000000</v>
      </c>
      <c r="K45">
        <v>1450000000</v>
      </c>
      <c r="L45">
        <v>1753</v>
      </c>
      <c r="M45">
        <v>2014</v>
      </c>
      <c r="N45">
        <v>0.45332187000000002</v>
      </c>
      <c r="O45">
        <v>0.60299999999999998</v>
      </c>
      <c r="P45">
        <v>66.777000000000001</v>
      </c>
      <c r="Q45">
        <v>13.29446063</v>
      </c>
      <c r="R45">
        <v>6.0068402289999998</v>
      </c>
      <c r="S45">
        <v>3481.1214399999999</v>
      </c>
      <c r="AO45">
        <v>3.754</v>
      </c>
    </row>
    <row r="46" spans="1:41" x14ac:dyDescent="0.3">
      <c r="A46" t="s">
        <v>170</v>
      </c>
      <c r="C46" t="s">
        <v>171</v>
      </c>
      <c r="D46" t="s">
        <v>52</v>
      </c>
      <c r="E46" t="b">
        <v>0</v>
      </c>
      <c r="G46">
        <v>13263</v>
      </c>
      <c r="K46">
        <v>366210000</v>
      </c>
      <c r="L46">
        <v>27612</v>
      </c>
    </row>
    <row r="47" spans="1:41" x14ac:dyDescent="0.3">
      <c r="A47" t="s">
        <v>172</v>
      </c>
      <c r="B47" t="s">
        <v>173</v>
      </c>
      <c r="C47" t="s">
        <v>174</v>
      </c>
      <c r="D47" t="s">
        <v>60</v>
      </c>
      <c r="E47" t="b">
        <v>1</v>
      </c>
      <c r="F47" t="s">
        <v>175</v>
      </c>
      <c r="G47">
        <v>5152950</v>
      </c>
      <c r="H47">
        <v>-1</v>
      </c>
      <c r="I47">
        <v>30.8</v>
      </c>
      <c r="J47">
        <v>102590000000</v>
      </c>
      <c r="K47">
        <v>86500000000</v>
      </c>
      <c r="L47">
        <v>19909</v>
      </c>
      <c r="M47">
        <v>2024</v>
      </c>
      <c r="N47">
        <v>0.45829140000000002</v>
      </c>
      <c r="O47">
        <v>0.83299999999999996</v>
      </c>
      <c r="P47">
        <v>80.799000000000007</v>
      </c>
      <c r="Q47">
        <v>16.349636870000001</v>
      </c>
      <c r="R47">
        <v>8.8447524990000002</v>
      </c>
      <c r="S47">
        <v>23417.21315</v>
      </c>
      <c r="T47">
        <v>50.3</v>
      </c>
      <c r="U47">
        <v>18.899999999999999</v>
      </c>
      <c r="V47">
        <v>36.6</v>
      </c>
      <c r="W47">
        <v>56.5</v>
      </c>
      <c r="X47">
        <v>45.1</v>
      </c>
      <c r="Y47">
        <v>55.1</v>
      </c>
      <c r="Z47">
        <v>9.9</v>
      </c>
      <c r="AA47">
        <v>6.9</v>
      </c>
      <c r="AB47">
        <v>8.6999999999999993</v>
      </c>
      <c r="AC47">
        <v>14.5</v>
      </c>
      <c r="AD47">
        <v>11.5</v>
      </c>
      <c r="AE47">
        <v>118.8</v>
      </c>
      <c r="AF47">
        <v>0.8</v>
      </c>
      <c r="AG47">
        <v>130.19999999999999</v>
      </c>
      <c r="AH47">
        <v>56.6</v>
      </c>
      <c r="AI47">
        <v>46.3</v>
      </c>
      <c r="AJ47">
        <v>65.099999999999994</v>
      </c>
      <c r="AK47">
        <v>9.9</v>
      </c>
      <c r="AL47">
        <v>60</v>
      </c>
      <c r="AM47">
        <v>41.6</v>
      </c>
      <c r="AN47">
        <v>93.1</v>
      </c>
      <c r="AO47">
        <v>7.274</v>
      </c>
    </row>
    <row r="48" spans="1:41" x14ac:dyDescent="0.3">
      <c r="A48" t="s">
        <v>176</v>
      </c>
      <c r="B48" t="s">
        <v>177</v>
      </c>
      <c r="C48" t="s">
        <v>178</v>
      </c>
      <c r="D48" t="s">
        <v>45</v>
      </c>
      <c r="E48" t="b">
        <v>1</v>
      </c>
      <c r="G48">
        <v>3848160</v>
      </c>
      <c r="J48">
        <v>98950000000</v>
      </c>
      <c r="K48">
        <v>84390000000</v>
      </c>
      <c r="L48">
        <v>25714</v>
      </c>
      <c r="M48">
        <v>2022</v>
      </c>
      <c r="N48">
        <v>0.30017322000000002</v>
      </c>
      <c r="O48">
        <v>0.88900000000000001</v>
      </c>
      <c r="P48">
        <v>78.58</v>
      </c>
      <c r="Q48">
        <v>16.34815025</v>
      </c>
      <c r="R48">
        <v>12.0951217</v>
      </c>
      <c r="S48">
        <v>41379.890270000004</v>
      </c>
      <c r="T48">
        <v>48.6</v>
      </c>
      <c r="U48">
        <v>17.3</v>
      </c>
      <c r="V48">
        <v>35</v>
      </c>
      <c r="W48">
        <v>45.2</v>
      </c>
      <c r="X48">
        <v>50.2</v>
      </c>
      <c r="Y48">
        <v>95.6</v>
      </c>
      <c r="Z48">
        <v>12.1</v>
      </c>
      <c r="AA48">
        <v>3.4</v>
      </c>
      <c r="AB48">
        <v>3.6</v>
      </c>
      <c r="AC48">
        <v>29.5</v>
      </c>
      <c r="AD48">
        <v>27.7</v>
      </c>
      <c r="AE48">
        <v>90.8</v>
      </c>
      <c r="AF48">
        <v>1.1000000000000001</v>
      </c>
      <c r="AG48">
        <v>181.7</v>
      </c>
      <c r="AH48">
        <v>98.1</v>
      </c>
      <c r="AI48">
        <v>74.599999999999994</v>
      </c>
      <c r="AJ48">
        <v>64.8</v>
      </c>
      <c r="AK48">
        <v>12.1</v>
      </c>
      <c r="AL48">
        <v>25.2</v>
      </c>
      <c r="AM48">
        <v>31.6</v>
      </c>
      <c r="AN48">
        <v>89.9</v>
      </c>
      <c r="AO48">
        <v>5.87</v>
      </c>
    </row>
    <row r="49" spans="1:41" x14ac:dyDescent="0.3">
      <c r="A49" t="s">
        <v>179</v>
      </c>
      <c r="C49" t="s">
        <v>180</v>
      </c>
      <c r="D49" t="s">
        <v>60</v>
      </c>
      <c r="E49" t="b">
        <v>1</v>
      </c>
      <c r="G49">
        <v>10937200</v>
      </c>
      <c r="K49">
        <v>201990000000</v>
      </c>
      <c r="L49">
        <v>18468</v>
      </c>
      <c r="O49">
        <v>0.76200000000000001</v>
      </c>
      <c r="P49">
        <v>78.084999999999994</v>
      </c>
      <c r="Q49">
        <v>13.87884045</v>
      </c>
      <c r="R49">
        <v>10.631489029999999</v>
      </c>
      <c r="S49">
        <v>8415.4117079999996</v>
      </c>
      <c r="T49">
        <v>40.1</v>
      </c>
      <c r="U49">
        <v>11.8</v>
      </c>
      <c r="V49">
        <v>27.8</v>
      </c>
      <c r="W49">
        <v>40</v>
      </c>
      <c r="X49">
        <v>24.4</v>
      </c>
      <c r="Y49">
        <v>2.7</v>
      </c>
      <c r="Z49">
        <v>48.9</v>
      </c>
      <c r="AA49">
        <v>24.4</v>
      </c>
      <c r="AB49">
        <v>28.3</v>
      </c>
      <c r="AC49">
        <v>4.0999999999999996</v>
      </c>
      <c r="AD49">
        <v>3.5</v>
      </c>
      <c r="AE49">
        <v>526.70000000000005</v>
      </c>
      <c r="AF49">
        <v>0.2</v>
      </c>
    </row>
    <row r="50" spans="1:41" x14ac:dyDescent="0.3">
      <c r="A50" t="s">
        <v>181</v>
      </c>
      <c r="C50" t="s">
        <v>182</v>
      </c>
      <c r="D50" t="s">
        <v>60</v>
      </c>
      <c r="E50" t="b">
        <v>0</v>
      </c>
      <c r="G50">
        <v>185487</v>
      </c>
      <c r="K50">
        <v>3280000000</v>
      </c>
      <c r="L50">
        <v>17691</v>
      </c>
    </row>
    <row r="51" spans="1:41" x14ac:dyDescent="0.3">
      <c r="A51" t="s">
        <v>183</v>
      </c>
      <c r="B51" t="s">
        <v>184</v>
      </c>
      <c r="C51" t="s">
        <v>185</v>
      </c>
      <c r="D51" t="s">
        <v>45</v>
      </c>
      <c r="E51" t="b">
        <v>1</v>
      </c>
      <c r="G51">
        <v>1370750</v>
      </c>
      <c r="J51">
        <v>38740000000</v>
      </c>
      <c r="K51">
        <v>33890000000</v>
      </c>
      <c r="L51">
        <v>28259</v>
      </c>
      <c r="M51">
        <v>2022</v>
      </c>
      <c r="N51">
        <v>0.31534076</v>
      </c>
      <c r="O51">
        <v>0.91300000000000003</v>
      </c>
      <c r="P51">
        <v>81.647999999999996</v>
      </c>
      <c r="Q51">
        <v>16.215599059999999</v>
      </c>
      <c r="R51">
        <v>12.5573721</v>
      </c>
      <c r="S51">
        <v>45394.15625</v>
      </c>
      <c r="T51">
        <v>55.2</v>
      </c>
      <c r="U51">
        <v>26.7</v>
      </c>
      <c r="V51">
        <v>42.8</v>
      </c>
      <c r="W51">
        <v>51.8</v>
      </c>
      <c r="X51">
        <v>55.6</v>
      </c>
      <c r="Y51">
        <v>87.8</v>
      </c>
      <c r="Z51">
        <v>8.1999999999999993</v>
      </c>
      <c r="AA51">
        <v>6.5</v>
      </c>
      <c r="AB51">
        <v>7.1</v>
      </c>
      <c r="AC51">
        <v>15.4</v>
      </c>
      <c r="AD51">
        <v>14</v>
      </c>
      <c r="AE51">
        <v>62</v>
      </c>
      <c r="AF51">
        <v>1.6</v>
      </c>
      <c r="AG51">
        <v>160.4</v>
      </c>
      <c r="AH51">
        <v>90.6</v>
      </c>
      <c r="AI51">
        <v>67.3</v>
      </c>
      <c r="AJ51">
        <v>56.5</v>
      </c>
      <c r="AK51">
        <v>8.1999999999999993</v>
      </c>
      <c r="AL51">
        <v>25.1</v>
      </c>
      <c r="AM51">
        <v>55.4</v>
      </c>
      <c r="AN51">
        <v>93.3</v>
      </c>
      <c r="AO51">
        <v>5.9420000000000002</v>
      </c>
    </row>
    <row r="52" spans="1:41" x14ac:dyDescent="0.3">
      <c r="A52" t="s">
        <v>186</v>
      </c>
      <c r="B52" t="s">
        <v>187</v>
      </c>
      <c r="C52" t="s">
        <v>188</v>
      </c>
      <c r="D52" t="s">
        <v>45</v>
      </c>
      <c r="E52" t="b">
        <v>1</v>
      </c>
      <c r="F52" t="s">
        <v>189</v>
      </c>
      <c r="G52">
        <v>10609200</v>
      </c>
      <c r="H52">
        <v>-14.6</v>
      </c>
      <c r="I52">
        <v>2.2000000000000002</v>
      </c>
      <c r="J52">
        <v>360240000000</v>
      </c>
      <c r="K52">
        <v>343210000000</v>
      </c>
      <c r="L52">
        <v>33956</v>
      </c>
      <c r="M52">
        <v>2022</v>
      </c>
      <c r="N52">
        <v>0.25870389999999999</v>
      </c>
      <c r="O52">
        <v>0.91500000000000004</v>
      </c>
      <c r="P52">
        <v>79.834000000000003</v>
      </c>
      <c r="Q52">
        <v>16.793500900000002</v>
      </c>
      <c r="R52">
        <v>12.963182140000001</v>
      </c>
      <c r="S52">
        <v>45889.014009999999</v>
      </c>
      <c r="T52">
        <v>48.2</v>
      </c>
      <c r="U52">
        <v>20</v>
      </c>
      <c r="V52">
        <v>35.9</v>
      </c>
      <c r="W52">
        <v>46.4</v>
      </c>
      <c r="X52">
        <v>37.9</v>
      </c>
      <c r="Y52">
        <v>94.8</v>
      </c>
      <c r="Z52">
        <v>13.6</v>
      </c>
      <c r="AA52">
        <v>3.3</v>
      </c>
      <c r="AB52">
        <v>3.7</v>
      </c>
      <c r="AC52">
        <v>29.9</v>
      </c>
      <c r="AD52">
        <v>27.4</v>
      </c>
      <c r="AE52">
        <v>111.8</v>
      </c>
      <c r="AF52">
        <v>0.9</v>
      </c>
      <c r="AG52">
        <v>176.3</v>
      </c>
      <c r="AH52">
        <v>97.6</v>
      </c>
      <c r="AI52">
        <v>73.400000000000006</v>
      </c>
      <c r="AJ52">
        <v>75.5</v>
      </c>
      <c r="AK52">
        <v>13.6</v>
      </c>
      <c r="AL52">
        <v>28.9</v>
      </c>
      <c r="AM52">
        <v>34.6</v>
      </c>
      <c r="AN52">
        <v>78.7</v>
      </c>
      <c r="AO52">
        <v>6.7750000000000004</v>
      </c>
    </row>
    <row r="53" spans="1:41" x14ac:dyDescent="0.3">
      <c r="A53" t="s">
        <v>190</v>
      </c>
      <c r="B53" t="s">
        <v>191</v>
      </c>
      <c r="C53" t="s">
        <v>192</v>
      </c>
      <c r="D53" t="s">
        <v>49</v>
      </c>
      <c r="E53" t="b">
        <v>1</v>
      </c>
      <c r="G53">
        <v>112832000</v>
      </c>
      <c r="J53">
        <v>79120000000</v>
      </c>
      <c r="K53">
        <v>69340000000</v>
      </c>
      <c r="L53">
        <v>701</v>
      </c>
      <c r="M53">
        <v>2020</v>
      </c>
      <c r="N53">
        <v>0.44673239999999997</v>
      </c>
      <c r="O53">
        <v>0.52200000000000002</v>
      </c>
      <c r="P53">
        <v>61.895000000000003</v>
      </c>
      <c r="Q53">
        <v>10.911473859999999</v>
      </c>
      <c r="R53">
        <v>7.3785610860000004</v>
      </c>
      <c r="S53">
        <v>1431.0479310000001</v>
      </c>
      <c r="T53">
        <v>46.5</v>
      </c>
      <c r="U53">
        <v>26.7</v>
      </c>
      <c r="V53">
        <v>37.9</v>
      </c>
      <c r="W53">
        <v>43.6</v>
      </c>
      <c r="X53">
        <v>54.1</v>
      </c>
      <c r="Y53">
        <v>27.3</v>
      </c>
      <c r="AO53">
        <v>3.4689999999999999</v>
      </c>
    </row>
    <row r="54" spans="1:41" x14ac:dyDescent="0.3">
      <c r="A54" t="s">
        <v>193</v>
      </c>
      <c r="B54" t="s">
        <v>194</v>
      </c>
      <c r="C54" t="s">
        <v>195</v>
      </c>
      <c r="D54" t="s">
        <v>45</v>
      </c>
      <c r="E54" t="b">
        <v>1</v>
      </c>
      <c r="F54" t="s">
        <v>196</v>
      </c>
      <c r="G54">
        <v>6002510</v>
      </c>
      <c r="H54">
        <v>16.600000000000001</v>
      </c>
      <c r="I54">
        <v>25.4</v>
      </c>
      <c r="J54">
        <v>449940000000</v>
      </c>
      <c r="K54">
        <v>407090000000</v>
      </c>
      <c r="L54">
        <v>74959</v>
      </c>
      <c r="M54">
        <v>2022</v>
      </c>
      <c r="N54">
        <v>0.29259402000000001</v>
      </c>
      <c r="O54">
        <v>0.96199999999999997</v>
      </c>
      <c r="P54">
        <v>81.933000000000007</v>
      </c>
      <c r="Q54">
        <v>18.704010010000001</v>
      </c>
      <c r="R54">
        <v>13.027320599999999</v>
      </c>
      <c r="S54">
        <v>76007.856690000001</v>
      </c>
      <c r="T54">
        <v>74.099999999999994</v>
      </c>
      <c r="U54">
        <v>28.8</v>
      </c>
      <c r="V54">
        <v>54.3</v>
      </c>
      <c r="W54">
        <v>67.599999999999994</v>
      </c>
      <c r="X54">
        <v>85.1</v>
      </c>
      <c r="Y54">
        <v>148.6</v>
      </c>
      <c r="Z54">
        <v>6.1</v>
      </c>
      <c r="AA54">
        <v>4.5999999999999996</v>
      </c>
      <c r="AB54">
        <v>4.9000000000000004</v>
      </c>
      <c r="AC54">
        <v>21.9</v>
      </c>
      <c r="AD54">
        <v>20.5</v>
      </c>
      <c r="AE54">
        <v>45.3</v>
      </c>
      <c r="AF54">
        <v>2.2000000000000002</v>
      </c>
      <c r="AG54">
        <v>215.1</v>
      </c>
      <c r="AH54">
        <v>152.69999999999999</v>
      </c>
      <c r="AI54">
        <v>74</v>
      </c>
      <c r="AJ54">
        <v>78.3</v>
      </c>
      <c r="AK54">
        <v>6.1</v>
      </c>
      <c r="AL54">
        <v>27.7</v>
      </c>
      <c r="AM54">
        <v>20.9</v>
      </c>
      <c r="AN54">
        <v>81.2</v>
      </c>
      <c r="AO54">
        <v>7.5209999999999999</v>
      </c>
    </row>
    <row r="55" spans="1:41" x14ac:dyDescent="0.3">
      <c r="A55" t="s">
        <v>197</v>
      </c>
      <c r="B55" t="s">
        <v>198</v>
      </c>
      <c r="C55" t="s">
        <v>199</v>
      </c>
      <c r="D55" t="s">
        <v>49</v>
      </c>
      <c r="E55" t="b">
        <v>1</v>
      </c>
      <c r="G55">
        <v>1184080</v>
      </c>
      <c r="J55">
        <v>4590000000</v>
      </c>
      <c r="K55">
        <v>4000000000</v>
      </c>
      <c r="L55">
        <v>3874</v>
      </c>
      <c r="M55">
        <v>2017</v>
      </c>
      <c r="N55">
        <v>0.41586014999999998</v>
      </c>
      <c r="O55">
        <v>0.51300000000000001</v>
      </c>
      <c r="P55">
        <v>65.986999999999995</v>
      </c>
      <c r="Q55">
        <v>6.2073500160000004</v>
      </c>
      <c r="R55">
        <v>3.9504150299999998</v>
      </c>
      <c r="S55">
        <v>6367.6060260000004</v>
      </c>
    </row>
    <row r="56" spans="1:41" x14ac:dyDescent="0.3">
      <c r="A56" t="s">
        <v>200</v>
      </c>
      <c r="C56" t="s">
        <v>201</v>
      </c>
      <c r="D56" t="s">
        <v>60</v>
      </c>
      <c r="E56" t="b">
        <v>1</v>
      </c>
      <c r="G56">
        <v>65871</v>
      </c>
      <c r="J56">
        <v>742000000</v>
      </c>
      <c r="K56">
        <v>650870000</v>
      </c>
      <c r="L56">
        <v>11264</v>
      </c>
      <c r="O56">
        <v>0.76100000000000001</v>
      </c>
      <c r="P56">
        <v>71.132000000000005</v>
      </c>
      <c r="Q56">
        <v>14.150999669999999</v>
      </c>
      <c r="R56">
        <v>10.12508965</v>
      </c>
      <c r="S56">
        <v>16001.12551</v>
      </c>
    </row>
    <row r="57" spans="1:41" x14ac:dyDescent="0.3">
      <c r="A57" t="s">
        <v>202</v>
      </c>
      <c r="B57" t="s">
        <v>203</v>
      </c>
      <c r="C57" t="s">
        <v>204</v>
      </c>
      <c r="D57" t="s">
        <v>60</v>
      </c>
      <c r="E57" t="b">
        <v>1</v>
      </c>
      <c r="G57">
        <v>11520500</v>
      </c>
      <c r="J57">
        <v>127830000000</v>
      </c>
      <c r="K57">
        <v>121440000000</v>
      </c>
      <c r="L57">
        <v>11096</v>
      </c>
      <c r="M57">
        <v>2023</v>
      </c>
      <c r="N57">
        <v>0.38397565</v>
      </c>
      <c r="O57">
        <v>0.77600000000000002</v>
      </c>
      <c r="P57">
        <v>73.72</v>
      </c>
      <c r="Q57">
        <v>13.61692047</v>
      </c>
      <c r="R57">
        <v>9.4445257560000009</v>
      </c>
      <c r="S57">
        <v>22023.510590000002</v>
      </c>
      <c r="T57">
        <v>34.700000000000003</v>
      </c>
      <c r="U57">
        <v>10</v>
      </c>
      <c r="V57">
        <v>24</v>
      </c>
      <c r="W57">
        <v>36.200000000000003</v>
      </c>
      <c r="X57">
        <v>32.4</v>
      </c>
      <c r="Y57">
        <v>37.1</v>
      </c>
      <c r="Z57">
        <v>15.2</v>
      </c>
      <c r="AA57">
        <v>6.4</v>
      </c>
      <c r="AB57">
        <v>5</v>
      </c>
      <c r="AC57">
        <v>15.5</v>
      </c>
      <c r="AD57">
        <v>19.899999999999999</v>
      </c>
      <c r="AE57">
        <v>216.4</v>
      </c>
      <c r="AF57">
        <v>0.5</v>
      </c>
      <c r="AO57">
        <v>5.8460000000000001</v>
      </c>
    </row>
    <row r="58" spans="1:41" x14ac:dyDescent="0.3">
      <c r="A58" t="s">
        <v>205</v>
      </c>
      <c r="B58" t="s">
        <v>206</v>
      </c>
      <c r="C58" t="s">
        <v>207</v>
      </c>
      <c r="D58" t="s">
        <v>66</v>
      </c>
      <c r="E58" t="b">
        <v>1</v>
      </c>
      <c r="G58">
        <v>18289900</v>
      </c>
      <c r="J58">
        <v>125680000000</v>
      </c>
      <c r="K58">
        <v>118840000000</v>
      </c>
      <c r="L58">
        <v>6871</v>
      </c>
      <c r="M58">
        <v>2023</v>
      </c>
      <c r="N58">
        <v>0.44579553999999999</v>
      </c>
      <c r="O58">
        <v>0.77700000000000002</v>
      </c>
      <c r="P58">
        <v>77.391999999999996</v>
      </c>
      <c r="Q58">
        <v>14.85167027</v>
      </c>
      <c r="R58">
        <v>8.9700002669999996</v>
      </c>
      <c r="S58">
        <v>13986.39698</v>
      </c>
      <c r="T58">
        <v>29.3</v>
      </c>
      <c r="U58">
        <v>8.1</v>
      </c>
      <c r="V58">
        <v>20.100000000000001</v>
      </c>
      <c r="W58">
        <v>32.299999999999997</v>
      </c>
      <c r="X58">
        <v>24.2</v>
      </c>
      <c r="Y58">
        <v>52</v>
      </c>
      <c r="Z58">
        <v>11</v>
      </c>
      <c r="AA58">
        <v>6.2</v>
      </c>
      <c r="AB58">
        <v>5.4</v>
      </c>
      <c r="AC58">
        <v>16.3</v>
      </c>
      <c r="AD58">
        <v>18.600000000000001</v>
      </c>
      <c r="AE58">
        <v>132.4</v>
      </c>
      <c r="AF58">
        <v>0.8</v>
      </c>
      <c r="AG58">
        <v>130.80000000000001</v>
      </c>
      <c r="AH58">
        <v>53.1</v>
      </c>
      <c r="AI58">
        <v>37.4</v>
      </c>
      <c r="AJ58">
        <v>78</v>
      </c>
      <c r="AK58">
        <v>11</v>
      </c>
      <c r="AL58">
        <v>37.1</v>
      </c>
      <c r="AM58">
        <v>59.1</v>
      </c>
      <c r="AN58">
        <v>94.5</v>
      </c>
      <c r="AO58">
        <v>5.9649999999999999</v>
      </c>
    </row>
    <row r="59" spans="1:41" x14ac:dyDescent="0.3">
      <c r="A59" t="s">
        <v>208</v>
      </c>
      <c r="B59" t="s">
        <v>209</v>
      </c>
      <c r="C59" t="s">
        <v>210</v>
      </c>
      <c r="D59" t="s">
        <v>49</v>
      </c>
      <c r="E59" t="b">
        <v>1</v>
      </c>
      <c r="F59" t="s">
        <v>211</v>
      </c>
      <c r="G59">
        <v>118366000</v>
      </c>
      <c r="H59">
        <v>-57.9</v>
      </c>
      <c r="I59">
        <v>-40.799999999999997</v>
      </c>
      <c r="J59">
        <v>347340000000</v>
      </c>
      <c r="K59">
        <v>331590000000</v>
      </c>
      <c r="L59">
        <v>2934</v>
      </c>
      <c r="M59">
        <v>2021</v>
      </c>
      <c r="N59">
        <v>0.28482037999999998</v>
      </c>
      <c r="O59">
        <v>0.754</v>
      </c>
      <c r="P59">
        <v>71.632999999999996</v>
      </c>
      <c r="Q59">
        <v>13.12716193</v>
      </c>
      <c r="R59">
        <v>10.136119620000001</v>
      </c>
      <c r="S59">
        <v>16218.13521</v>
      </c>
      <c r="T59">
        <v>19.600000000000001</v>
      </c>
      <c r="U59">
        <v>3.9</v>
      </c>
      <c r="V59">
        <v>12.8</v>
      </c>
      <c r="W59">
        <v>20.100000000000001</v>
      </c>
      <c r="X59">
        <v>17.600000000000001</v>
      </c>
      <c r="Y59">
        <v>22.7</v>
      </c>
      <c r="Z59">
        <v>20.9</v>
      </c>
      <c r="AA59">
        <v>5</v>
      </c>
      <c r="AB59">
        <v>5.2</v>
      </c>
      <c r="AC59">
        <v>19.899999999999999</v>
      </c>
      <c r="AD59">
        <v>19.2</v>
      </c>
      <c r="AE59">
        <v>355.8</v>
      </c>
      <c r="AF59">
        <v>0.3</v>
      </c>
      <c r="AG59">
        <v>83.2</v>
      </c>
      <c r="AH59">
        <v>23.1</v>
      </c>
      <c r="AI59">
        <v>53.1</v>
      </c>
      <c r="AJ59">
        <v>47.5</v>
      </c>
      <c r="AK59">
        <v>20.9</v>
      </c>
      <c r="AL59">
        <v>47.7</v>
      </c>
      <c r="AM59">
        <v>82.7</v>
      </c>
      <c r="AN59">
        <v>90.8</v>
      </c>
      <c r="AO59">
        <v>3.8170000000000002</v>
      </c>
    </row>
    <row r="60" spans="1:41" x14ac:dyDescent="0.3">
      <c r="A60" t="s">
        <v>212</v>
      </c>
      <c r="B60" t="s">
        <v>213</v>
      </c>
      <c r="C60" t="s">
        <v>214</v>
      </c>
      <c r="D60" t="s">
        <v>60</v>
      </c>
      <c r="E60" t="b">
        <v>1</v>
      </c>
      <c r="G60">
        <v>6365500</v>
      </c>
      <c r="J60">
        <v>36750000000</v>
      </c>
      <c r="K60">
        <v>34020000000</v>
      </c>
      <c r="L60">
        <v>5773</v>
      </c>
      <c r="M60">
        <v>2023</v>
      </c>
      <c r="N60">
        <v>0.39802377999999999</v>
      </c>
      <c r="O60">
        <v>0.67800000000000005</v>
      </c>
      <c r="P60">
        <v>72.099000000000004</v>
      </c>
      <c r="Q60">
        <v>11.11291027</v>
      </c>
      <c r="R60">
        <v>7.3000001909999996</v>
      </c>
      <c r="S60">
        <v>10594.84201</v>
      </c>
      <c r="T60">
        <v>37.6</v>
      </c>
      <c r="U60">
        <v>16.100000000000001</v>
      </c>
      <c r="V60">
        <v>28.2</v>
      </c>
      <c r="W60">
        <v>42.3</v>
      </c>
      <c r="X60">
        <v>30.3</v>
      </c>
      <c r="Y60">
        <v>35</v>
      </c>
      <c r="Z60">
        <v>19.3</v>
      </c>
      <c r="AA60">
        <v>6</v>
      </c>
      <c r="AB60">
        <v>8.6</v>
      </c>
      <c r="AC60">
        <v>16.5</v>
      </c>
      <c r="AD60">
        <v>11.7</v>
      </c>
      <c r="AE60">
        <v>209.4</v>
      </c>
      <c r="AF60">
        <v>0.5</v>
      </c>
      <c r="AO60">
        <v>6.492</v>
      </c>
    </row>
    <row r="61" spans="1:41" x14ac:dyDescent="0.3">
      <c r="A61" t="s">
        <v>215</v>
      </c>
      <c r="B61" t="s">
        <v>216</v>
      </c>
      <c r="C61" t="s">
        <v>217</v>
      </c>
      <c r="D61" t="s">
        <v>49</v>
      </c>
      <c r="E61" t="b">
        <v>1</v>
      </c>
      <c r="G61">
        <v>1938430</v>
      </c>
      <c r="J61">
        <v>12680000000</v>
      </c>
      <c r="K61">
        <v>12120000000</v>
      </c>
      <c r="L61">
        <v>6543</v>
      </c>
      <c r="M61">
        <v>2022</v>
      </c>
      <c r="N61">
        <v>0.38542363000000002</v>
      </c>
      <c r="O61">
        <v>0.67400000000000004</v>
      </c>
      <c r="P61">
        <v>63.707000000000001</v>
      </c>
      <c r="Q61">
        <v>12.49119511</v>
      </c>
      <c r="R61">
        <v>8.2813270140000004</v>
      </c>
      <c r="S61">
        <v>12762.46845</v>
      </c>
    </row>
    <row r="62" spans="1:41" x14ac:dyDescent="0.3">
      <c r="A62" t="s">
        <v>218</v>
      </c>
      <c r="C62" t="s">
        <v>219</v>
      </c>
      <c r="D62" t="s">
        <v>49</v>
      </c>
      <c r="E62" t="b">
        <v>1</v>
      </c>
      <c r="G62">
        <v>3607000</v>
      </c>
      <c r="K62">
        <v>2280000000</v>
      </c>
      <c r="L62">
        <v>631</v>
      </c>
      <c r="O62">
        <v>0.503</v>
      </c>
      <c r="P62">
        <v>68.623999999999995</v>
      </c>
      <c r="Q62">
        <v>7.3366722969999998</v>
      </c>
      <c r="R62">
        <v>5.0913644199999997</v>
      </c>
      <c r="S62">
        <v>2029.070062</v>
      </c>
    </row>
    <row r="63" spans="1:41" x14ac:dyDescent="0.3">
      <c r="A63" t="s">
        <v>220</v>
      </c>
      <c r="B63" t="s">
        <v>221</v>
      </c>
      <c r="C63" t="s">
        <v>222</v>
      </c>
      <c r="D63" t="s">
        <v>45</v>
      </c>
      <c r="E63" t="b">
        <v>1</v>
      </c>
      <c r="G63">
        <v>1344230</v>
      </c>
      <c r="J63">
        <v>45000000000</v>
      </c>
      <c r="K63">
        <v>41290000000</v>
      </c>
      <c r="L63">
        <v>33479</v>
      </c>
      <c r="M63">
        <v>2022</v>
      </c>
      <c r="N63">
        <v>0.32252404000000001</v>
      </c>
      <c r="O63">
        <v>0.90500000000000003</v>
      </c>
      <c r="P63">
        <v>79.153000000000006</v>
      </c>
      <c r="Q63">
        <v>15.96786022</v>
      </c>
      <c r="R63">
        <v>13.562165970000001</v>
      </c>
      <c r="S63">
        <v>40880.930439999996</v>
      </c>
      <c r="T63">
        <v>55.9</v>
      </c>
      <c r="U63">
        <v>16.100000000000001</v>
      </c>
      <c r="V63">
        <v>38.5</v>
      </c>
      <c r="W63">
        <v>51.2</v>
      </c>
      <c r="X63">
        <v>57.8</v>
      </c>
      <c r="Y63">
        <v>89.6</v>
      </c>
      <c r="Z63">
        <v>11.1</v>
      </c>
      <c r="AA63">
        <v>3.3</v>
      </c>
      <c r="AB63">
        <v>3.4</v>
      </c>
      <c r="AC63">
        <v>29.9</v>
      </c>
      <c r="AD63">
        <v>29.1</v>
      </c>
      <c r="AE63">
        <v>87.1</v>
      </c>
      <c r="AF63">
        <v>1.1000000000000001</v>
      </c>
      <c r="AG63">
        <v>189.8</v>
      </c>
      <c r="AH63">
        <v>91.5</v>
      </c>
      <c r="AI63">
        <v>76.5</v>
      </c>
      <c r="AJ63">
        <v>74.8</v>
      </c>
      <c r="AK63">
        <v>11.1</v>
      </c>
      <c r="AL63">
        <v>21.4</v>
      </c>
      <c r="AM63">
        <v>16.899999999999999</v>
      </c>
      <c r="AN63">
        <v>71.2</v>
      </c>
      <c r="AO63">
        <v>6.4169999999999998</v>
      </c>
    </row>
    <row r="64" spans="1:41" x14ac:dyDescent="0.3">
      <c r="A64" t="s">
        <v>223</v>
      </c>
      <c r="B64" t="s">
        <v>224</v>
      </c>
      <c r="C64" t="s">
        <v>225</v>
      </c>
      <c r="D64" t="s">
        <v>49</v>
      </c>
      <c r="E64" t="b">
        <v>1</v>
      </c>
      <c r="G64">
        <v>1256170</v>
      </c>
      <c r="J64">
        <v>5480000000</v>
      </c>
      <c r="K64">
        <v>4570000000</v>
      </c>
      <c r="L64">
        <v>4365</v>
      </c>
      <c r="M64">
        <v>2016</v>
      </c>
      <c r="N64">
        <v>0.54579794000000004</v>
      </c>
      <c r="O64">
        <v>0.69499999999999995</v>
      </c>
      <c r="P64">
        <v>64.123000000000005</v>
      </c>
      <c r="Q64">
        <v>15.246043909999999</v>
      </c>
      <c r="R64">
        <v>8.6851997379999997</v>
      </c>
      <c r="S64">
        <v>9919.0852300000006</v>
      </c>
      <c r="AO64">
        <v>3.774</v>
      </c>
    </row>
    <row r="65" spans="1:41" x14ac:dyDescent="0.3">
      <c r="A65" t="s">
        <v>226</v>
      </c>
      <c r="B65" t="s">
        <v>227</v>
      </c>
      <c r="C65" t="s">
        <v>228</v>
      </c>
      <c r="D65" t="s">
        <v>49</v>
      </c>
      <c r="E65" t="b">
        <v>1</v>
      </c>
      <c r="G65">
        <v>135472000</v>
      </c>
      <c r="J65">
        <v>117460000000</v>
      </c>
      <c r="K65">
        <v>159750000000</v>
      </c>
      <c r="L65">
        <v>867</v>
      </c>
      <c r="M65">
        <v>2021</v>
      </c>
      <c r="N65">
        <v>0.31141794</v>
      </c>
      <c r="O65">
        <v>0.497</v>
      </c>
      <c r="P65">
        <v>67.314999999999998</v>
      </c>
      <c r="Q65">
        <v>9.2176515709999993</v>
      </c>
      <c r="R65">
        <v>2.4025398130000002</v>
      </c>
      <c r="S65">
        <v>2795.5069840000001</v>
      </c>
      <c r="T65">
        <v>41.6</v>
      </c>
      <c r="U65">
        <v>16.600000000000001</v>
      </c>
      <c r="V65">
        <v>30.7</v>
      </c>
      <c r="W65">
        <v>44.4</v>
      </c>
      <c r="X65">
        <v>22.2</v>
      </c>
      <c r="Y65">
        <v>13.2</v>
      </c>
      <c r="AO65">
        <v>3.8980000000000001</v>
      </c>
    </row>
    <row r="66" spans="1:41" x14ac:dyDescent="0.3">
      <c r="A66" t="s">
        <v>229</v>
      </c>
      <c r="C66" t="s">
        <v>230</v>
      </c>
      <c r="D66" t="s">
        <v>66</v>
      </c>
      <c r="E66" t="b">
        <v>0</v>
      </c>
    </row>
    <row r="67" spans="1:41" x14ac:dyDescent="0.3">
      <c r="A67" t="s">
        <v>231</v>
      </c>
      <c r="C67" t="s">
        <v>232</v>
      </c>
      <c r="D67" t="s">
        <v>45</v>
      </c>
      <c r="E67" t="b">
        <v>0</v>
      </c>
    </row>
    <row r="68" spans="1:41" x14ac:dyDescent="0.3">
      <c r="A68" t="s">
        <v>233</v>
      </c>
      <c r="B68" t="s">
        <v>234</v>
      </c>
      <c r="C68" t="s">
        <v>235</v>
      </c>
      <c r="D68" t="s">
        <v>52</v>
      </c>
      <c r="E68" t="b">
        <v>1</v>
      </c>
      <c r="G68">
        <v>933154</v>
      </c>
      <c r="J68">
        <v>6260000000</v>
      </c>
      <c r="K68">
        <v>5440000000</v>
      </c>
      <c r="L68">
        <v>6705</v>
      </c>
      <c r="M68">
        <v>2019</v>
      </c>
      <c r="N68">
        <v>0.30706867999999998</v>
      </c>
      <c r="O68">
        <v>0.73099999999999998</v>
      </c>
      <c r="P68">
        <v>67.316000000000003</v>
      </c>
      <c r="Q68">
        <v>13.84869</v>
      </c>
      <c r="R68">
        <v>10.37096977</v>
      </c>
      <c r="S68">
        <v>12843.158890000001</v>
      </c>
      <c r="T68">
        <v>33.299999999999997</v>
      </c>
      <c r="U68">
        <v>17.100000000000001</v>
      </c>
      <c r="V68">
        <v>26.2</v>
      </c>
      <c r="W68">
        <v>42.7</v>
      </c>
      <c r="X68">
        <v>29.9</v>
      </c>
      <c r="Y68">
        <v>63.7</v>
      </c>
    </row>
    <row r="69" spans="1:41" x14ac:dyDescent="0.3">
      <c r="A69" t="s">
        <v>236</v>
      </c>
      <c r="B69" t="s">
        <v>237</v>
      </c>
      <c r="C69" t="s">
        <v>238</v>
      </c>
      <c r="D69" t="s">
        <v>45</v>
      </c>
      <c r="E69" t="b">
        <v>1</v>
      </c>
      <c r="G69">
        <v>5623330</v>
      </c>
      <c r="J69">
        <v>303940000000</v>
      </c>
      <c r="K69">
        <v>295530000000</v>
      </c>
      <c r="L69">
        <v>54051</v>
      </c>
      <c r="M69">
        <v>2022</v>
      </c>
      <c r="N69">
        <v>0.27925923000000002</v>
      </c>
      <c r="O69">
        <v>0.94799999999999995</v>
      </c>
      <c r="P69">
        <v>81.91</v>
      </c>
      <c r="Q69">
        <v>19.494089129999999</v>
      </c>
      <c r="R69">
        <v>12.97962547</v>
      </c>
      <c r="S69">
        <v>57067.636930000001</v>
      </c>
      <c r="T69">
        <v>64.5</v>
      </c>
      <c r="U69">
        <v>21.1</v>
      </c>
      <c r="V69">
        <v>45.6</v>
      </c>
      <c r="W69">
        <v>64.900000000000006</v>
      </c>
      <c r="X69">
        <v>67</v>
      </c>
      <c r="Y69">
        <v>139.5</v>
      </c>
      <c r="Z69">
        <v>7.8</v>
      </c>
      <c r="AA69">
        <v>3.1</v>
      </c>
      <c r="AB69">
        <v>3.9</v>
      </c>
      <c r="AC69">
        <v>31.8</v>
      </c>
      <c r="AD69">
        <v>25.3</v>
      </c>
      <c r="AE69">
        <v>55.8</v>
      </c>
      <c r="AF69">
        <v>1.8</v>
      </c>
      <c r="AG69">
        <v>208.3</v>
      </c>
      <c r="AH69">
        <v>142.9</v>
      </c>
      <c r="AI69">
        <v>73.5</v>
      </c>
      <c r="AJ69">
        <v>77.400000000000006</v>
      </c>
      <c r="AK69">
        <v>7.8</v>
      </c>
      <c r="AL69">
        <v>25.1</v>
      </c>
      <c r="AM69">
        <v>11.7</v>
      </c>
      <c r="AN69">
        <v>54.4</v>
      </c>
      <c r="AO69">
        <v>7.7359999999999998</v>
      </c>
    </row>
    <row r="70" spans="1:41" x14ac:dyDescent="0.3">
      <c r="A70" t="s">
        <v>239</v>
      </c>
      <c r="B70" t="s">
        <v>240</v>
      </c>
      <c r="C70" t="s">
        <v>241</v>
      </c>
      <c r="D70" t="s">
        <v>45</v>
      </c>
      <c r="E70" t="b">
        <v>1</v>
      </c>
      <c r="G70">
        <v>66650800</v>
      </c>
      <c r="J70">
        <v>3210000000000</v>
      </c>
      <c r="K70">
        <v>3050000000000</v>
      </c>
      <c r="L70">
        <v>48181</v>
      </c>
      <c r="M70">
        <v>2022</v>
      </c>
      <c r="N70">
        <v>0.31236910000000001</v>
      </c>
      <c r="O70">
        <v>0.92</v>
      </c>
      <c r="P70">
        <v>83.325000000000003</v>
      </c>
      <c r="Q70">
        <v>16.095119480000001</v>
      </c>
      <c r="R70">
        <v>11.7656677</v>
      </c>
      <c r="S70">
        <v>55060.160380000001</v>
      </c>
      <c r="T70">
        <v>64.400000000000006</v>
      </c>
      <c r="U70">
        <v>22</v>
      </c>
      <c r="V70">
        <v>46</v>
      </c>
      <c r="W70">
        <v>70.099999999999994</v>
      </c>
      <c r="X70">
        <v>60</v>
      </c>
      <c r="Y70">
        <v>119.8</v>
      </c>
      <c r="Z70">
        <v>9.9</v>
      </c>
      <c r="AA70">
        <v>3.1</v>
      </c>
      <c r="AB70">
        <v>3.5</v>
      </c>
      <c r="AC70">
        <v>32.700000000000003</v>
      </c>
      <c r="AD70">
        <v>28.9</v>
      </c>
      <c r="AE70">
        <v>69.8</v>
      </c>
      <c r="AF70">
        <v>1.4</v>
      </c>
      <c r="AG70">
        <v>169.5</v>
      </c>
      <c r="AH70">
        <v>122.8</v>
      </c>
      <c r="AI70">
        <v>44.4</v>
      </c>
      <c r="AJ70">
        <v>77.2</v>
      </c>
      <c r="AK70">
        <v>9.9</v>
      </c>
      <c r="AL70">
        <v>34.4</v>
      </c>
      <c r="AM70">
        <v>43.7</v>
      </c>
      <c r="AN70">
        <v>89.9</v>
      </c>
      <c r="AO70">
        <v>6.593</v>
      </c>
    </row>
    <row r="71" spans="1:41" x14ac:dyDescent="0.3">
      <c r="A71" t="s">
        <v>242</v>
      </c>
      <c r="C71" t="s">
        <v>243</v>
      </c>
      <c r="D71" t="s">
        <v>66</v>
      </c>
      <c r="E71" t="b">
        <v>0</v>
      </c>
    </row>
    <row r="72" spans="1:41" x14ac:dyDescent="0.3">
      <c r="A72" t="s">
        <v>244</v>
      </c>
      <c r="C72" t="s">
        <v>245</v>
      </c>
      <c r="D72" t="s">
        <v>52</v>
      </c>
      <c r="E72" t="b">
        <v>0</v>
      </c>
      <c r="G72">
        <v>282465</v>
      </c>
      <c r="K72">
        <v>6400000000</v>
      </c>
      <c r="L72">
        <v>22651</v>
      </c>
    </row>
    <row r="73" spans="1:41" x14ac:dyDescent="0.3">
      <c r="A73" t="s">
        <v>246</v>
      </c>
      <c r="B73" t="s">
        <v>247</v>
      </c>
      <c r="C73" t="s">
        <v>248</v>
      </c>
      <c r="D73" t="s">
        <v>49</v>
      </c>
      <c r="E73" t="b">
        <v>1</v>
      </c>
      <c r="G73">
        <v>2593130</v>
      </c>
      <c r="J73">
        <v>20390000000</v>
      </c>
      <c r="K73">
        <v>20060000000</v>
      </c>
      <c r="L73">
        <v>7863</v>
      </c>
      <c r="M73">
        <v>2017</v>
      </c>
      <c r="N73">
        <v>0.38024372000000001</v>
      </c>
      <c r="O73">
        <v>0.73299999999999998</v>
      </c>
      <c r="P73">
        <v>68.337000000000003</v>
      </c>
      <c r="Q73">
        <v>12.482758889999999</v>
      </c>
      <c r="R73">
        <v>9.6859999999999999</v>
      </c>
      <c r="S73">
        <v>18854.06151</v>
      </c>
      <c r="AO73">
        <v>5.12</v>
      </c>
    </row>
    <row r="74" spans="1:41" x14ac:dyDescent="0.3">
      <c r="A74" t="s">
        <v>249</v>
      </c>
      <c r="B74" t="s">
        <v>250</v>
      </c>
      <c r="C74" t="s">
        <v>251</v>
      </c>
      <c r="D74" t="s">
        <v>49</v>
      </c>
      <c r="E74" t="b">
        <v>1</v>
      </c>
      <c r="G74">
        <v>2822090</v>
      </c>
      <c r="J74">
        <v>2770000000</v>
      </c>
      <c r="K74">
        <v>2400000000</v>
      </c>
      <c r="L74">
        <v>982</v>
      </c>
      <c r="M74">
        <v>2020</v>
      </c>
      <c r="N74">
        <v>0.38757205</v>
      </c>
      <c r="O74">
        <v>0.52400000000000002</v>
      </c>
      <c r="P74">
        <v>65.86</v>
      </c>
      <c r="Q74">
        <v>8.9778996860000007</v>
      </c>
      <c r="R74">
        <v>4.6747271540000002</v>
      </c>
      <c r="S74">
        <v>2812.0176019999999</v>
      </c>
      <c r="AO74">
        <v>4.423</v>
      </c>
    </row>
    <row r="75" spans="1:41" x14ac:dyDescent="0.3">
      <c r="A75" t="s">
        <v>252</v>
      </c>
      <c r="B75" t="s">
        <v>253</v>
      </c>
      <c r="C75" t="s">
        <v>254</v>
      </c>
      <c r="D75" t="s">
        <v>41</v>
      </c>
      <c r="E75" t="b">
        <v>1</v>
      </c>
      <c r="G75">
        <v>3806670</v>
      </c>
      <c r="J75">
        <v>35350000000</v>
      </c>
      <c r="K75">
        <v>30540000000</v>
      </c>
      <c r="L75">
        <v>9287</v>
      </c>
      <c r="M75">
        <v>2023</v>
      </c>
      <c r="N75">
        <v>0.34756895999999998</v>
      </c>
      <c r="O75">
        <v>0.84399999999999997</v>
      </c>
      <c r="P75">
        <v>74.495999999999995</v>
      </c>
      <c r="Q75">
        <v>16.75470924</v>
      </c>
      <c r="R75">
        <v>12.69999981</v>
      </c>
      <c r="S75">
        <v>20752.570090000001</v>
      </c>
      <c r="T75">
        <v>31.2</v>
      </c>
      <c r="U75">
        <v>12.9</v>
      </c>
      <c r="V75">
        <v>23.2</v>
      </c>
      <c r="W75">
        <v>30.9</v>
      </c>
      <c r="X75">
        <v>34.200000000000003</v>
      </c>
      <c r="Y75">
        <v>45.4</v>
      </c>
      <c r="Z75">
        <v>12</v>
      </c>
      <c r="AA75">
        <v>8.1</v>
      </c>
      <c r="AB75">
        <v>8.3000000000000007</v>
      </c>
      <c r="AC75">
        <v>12.4</v>
      </c>
      <c r="AD75">
        <v>12</v>
      </c>
      <c r="AE75">
        <v>158.69999999999999</v>
      </c>
      <c r="AF75">
        <v>0.6</v>
      </c>
      <c r="AG75">
        <v>129.1</v>
      </c>
      <c r="AH75">
        <v>46.7</v>
      </c>
      <c r="AI75">
        <v>74</v>
      </c>
      <c r="AJ75">
        <v>56.4</v>
      </c>
      <c r="AK75">
        <v>12</v>
      </c>
      <c r="AL75">
        <v>37.1</v>
      </c>
      <c r="AM75">
        <v>67.599999999999994</v>
      </c>
      <c r="AN75">
        <v>88.5</v>
      </c>
      <c r="AO75">
        <v>5.4</v>
      </c>
    </row>
    <row r="76" spans="1:41" x14ac:dyDescent="0.3">
      <c r="A76" t="s">
        <v>255</v>
      </c>
      <c r="B76" t="s">
        <v>256</v>
      </c>
      <c r="C76" t="s">
        <v>257</v>
      </c>
      <c r="D76" t="s">
        <v>45</v>
      </c>
      <c r="E76" t="b">
        <v>1</v>
      </c>
      <c r="G76">
        <v>84075100</v>
      </c>
      <c r="J76">
        <v>4740000000000</v>
      </c>
      <c r="K76">
        <v>4530000000000</v>
      </c>
      <c r="L76">
        <v>56435</v>
      </c>
      <c r="M76">
        <v>2020</v>
      </c>
      <c r="N76">
        <v>0.32433450000000003</v>
      </c>
      <c r="O76">
        <v>0.95899999999999996</v>
      </c>
      <c r="P76">
        <v>81.378</v>
      </c>
      <c r="Q76">
        <v>17.30921936</v>
      </c>
      <c r="R76">
        <v>14.296371629999999</v>
      </c>
      <c r="S76">
        <v>64053.221239999999</v>
      </c>
      <c r="T76">
        <v>64.7</v>
      </c>
      <c r="U76">
        <v>25.4</v>
      </c>
      <c r="V76">
        <v>47.6</v>
      </c>
      <c r="W76">
        <v>62.1</v>
      </c>
      <c r="X76">
        <v>60.8</v>
      </c>
      <c r="Y76">
        <v>140.4</v>
      </c>
      <c r="Z76">
        <v>8.5</v>
      </c>
      <c r="AA76">
        <v>3.6</v>
      </c>
      <c r="AB76">
        <v>3.5</v>
      </c>
      <c r="AC76">
        <v>27.7</v>
      </c>
      <c r="AD76">
        <v>28.8</v>
      </c>
      <c r="AE76">
        <v>61.7</v>
      </c>
      <c r="AF76">
        <v>1.6</v>
      </c>
      <c r="AG76">
        <v>195.2</v>
      </c>
      <c r="AH76">
        <v>144.30000000000001</v>
      </c>
      <c r="AI76">
        <v>60.4</v>
      </c>
      <c r="AJ76">
        <v>71.7</v>
      </c>
      <c r="AK76">
        <v>8.5</v>
      </c>
      <c r="AL76">
        <v>29.6</v>
      </c>
      <c r="AM76">
        <v>28.8</v>
      </c>
      <c r="AN76">
        <v>82.8</v>
      </c>
      <c r="AO76">
        <v>6.7530000000000001</v>
      </c>
    </row>
    <row r="77" spans="1:41" x14ac:dyDescent="0.3">
      <c r="A77" t="s">
        <v>258</v>
      </c>
      <c r="B77" t="s">
        <v>259</v>
      </c>
      <c r="C77" t="s">
        <v>260</v>
      </c>
      <c r="D77" t="s">
        <v>49</v>
      </c>
      <c r="E77" t="b">
        <v>1</v>
      </c>
      <c r="G77">
        <v>35064300</v>
      </c>
      <c r="J77">
        <v>88330000000</v>
      </c>
      <c r="K77">
        <v>76370000000</v>
      </c>
      <c r="L77">
        <v>2519</v>
      </c>
      <c r="M77">
        <v>2016</v>
      </c>
      <c r="N77">
        <v>0.43508595</v>
      </c>
      <c r="O77">
        <v>0.628</v>
      </c>
      <c r="P77">
        <v>65.498000000000005</v>
      </c>
      <c r="Q77">
        <v>11.418459889999999</v>
      </c>
      <c r="R77">
        <v>7.1072101590000001</v>
      </c>
      <c r="S77">
        <v>6846.3522039999998</v>
      </c>
      <c r="T77">
        <v>31.1</v>
      </c>
      <c r="U77">
        <v>10.5</v>
      </c>
      <c r="V77">
        <v>22.1</v>
      </c>
      <c r="W77">
        <v>34.200000000000003</v>
      </c>
      <c r="X77">
        <v>29</v>
      </c>
      <c r="Y77">
        <v>18.3</v>
      </c>
      <c r="AO77">
        <v>4.34</v>
      </c>
    </row>
    <row r="78" spans="1:41" x14ac:dyDescent="0.3">
      <c r="A78" t="s">
        <v>261</v>
      </c>
      <c r="C78" t="s">
        <v>262</v>
      </c>
      <c r="D78" t="s">
        <v>45</v>
      </c>
      <c r="E78" t="b">
        <v>0</v>
      </c>
    </row>
    <row r="79" spans="1:41" x14ac:dyDescent="0.3">
      <c r="A79" t="s">
        <v>263</v>
      </c>
      <c r="B79" t="s">
        <v>264</v>
      </c>
      <c r="C79" t="s">
        <v>265</v>
      </c>
      <c r="D79" t="s">
        <v>45</v>
      </c>
      <c r="E79" t="b">
        <v>1</v>
      </c>
      <c r="G79">
        <v>9938840</v>
      </c>
      <c r="J79">
        <v>267350000000</v>
      </c>
      <c r="K79">
        <v>243500000000</v>
      </c>
      <c r="L79">
        <v>26899</v>
      </c>
      <c r="M79">
        <v>2022</v>
      </c>
      <c r="N79">
        <v>0.33373599999999998</v>
      </c>
      <c r="O79">
        <v>0.90800000000000003</v>
      </c>
      <c r="P79">
        <v>81.856999999999999</v>
      </c>
      <c r="Q79">
        <v>20.845500950000002</v>
      </c>
      <c r="R79">
        <v>11.553856420000001</v>
      </c>
      <c r="S79">
        <v>35760.749150000003</v>
      </c>
      <c r="T79">
        <v>51</v>
      </c>
      <c r="U79">
        <v>12.8</v>
      </c>
      <c r="V79">
        <v>34.4</v>
      </c>
      <c r="W79">
        <v>48.6</v>
      </c>
      <c r="X79">
        <v>53.9</v>
      </c>
      <c r="Y79">
        <v>65.3</v>
      </c>
      <c r="Z79">
        <v>13.1</v>
      </c>
      <c r="AA79">
        <v>3.6</v>
      </c>
      <c r="AB79">
        <v>3.5</v>
      </c>
      <c r="AC79">
        <v>27.7</v>
      </c>
      <c r="AD79">
        <v>28.5</v>
      </c>
      <c r="AE79">
        <v>100.3</v>
      </c>
      <c r="AF79">
        <v>1</v>
      </c>
      <c r="AG79">
        <v>140.4</v>
      </c>
      <c r="AH79">
        <v>66.599999999999994</v>
      </c>
      <c r="AI79">
        <v>53.6</v>
      </c>
      <c r="AJ79">
        <v>58.5</v>
      </c>
      <c r="AK79">
        <v>13.1</v>
      </c>
      <c r="AL79">
        <v>32.799999999999997</v>
      </c>
      <c r="AM79">
        <v>49.4</v>
      </c>
      <c r="AN79">
        <v>93.1</v>
      </c>
      <c r="AO79">
        <v>5.7759999999999998</v>
      </c>
    </row>
    <row r="80" spans="1:41" x14ac:dyDescent="0.3">
      <c r="A80" t="s">
        <v>266</v>
      </c>
      <c r="C80" t="s">
        <v>267</v>
      </c>
      <c r="D80" t="s">
        <v>60</v>
      </c>
      <c r="E80" t="b">
        <v>0</v>
      </c>
      <c r="G80">
        <v>55745</v>
      </c>
      <c r="K80">
        <v>3040000000</v>
      </c>
      <c r="L80">
        <v>54547</v>
      </c>
    </row>
    <row r="81" spans="1:41" x14ac:dyDescent="0.3">
      <c r="A81" t="s">
        <v>268</v>
      </c>
      <c r="B81" t="s">
        <v>269</v>
      </c>
      <c r="C81" t="s">
        <v>270</v>
      </c>
      <c r="D81" t="s">
        <v>60</v>
      </c>
      <c r="E81" t="b">
        <v>1</v>
      </c>
      <c r="G81">
        <v>117303</v>
      </c>
      <c r="J81">
        <v>1460000000</v>
      </c>
      <c r="K81">
        <v>1320000000</v>
      </c>
      <c r="L81">
        <v>12480</v>
      </c>
      <c r="M81">
        <v>2018</v>
      </c>
      <c r="N81">
        <v>0.4381641</v>
      </c>
      <c r="O81">
        <v>0.79100000000000004</v>
      </c>
      <c r="P81">
        <v>75.204999999999998</v>
      </c>
      <c r="Q81">
        <v>16.577289189999998</v>
      </c>
      <c r="R81">
        <v>9.4463993070000001</v>
      </c>
      <c r="S81">
        <v>14349.028039999999</v>
      </c>
    </row>
    <row r="82" spans="1:41" x14ac:dyDescent="0.3">
      <c r="A82" t="s">
        <v>271</v>
      </c>
      <c r="C82" t="s">
        <v>272</v>
      </c>
      <c r="D82" t="s">
        <v>60</v>
      </c>
      <c r="E82" t="b">
        <v>0</v>
      </c>
    </row>
    <row r="83" spans="1:41" x14ac:dyDescent="0.3">
      <c r="A83" t="s">
        <v>273</v>
      </c>
      <c r="C83" t="s">
        <v>274</v>
      </c>
      <c r="D83" t="s">
        <v>52</v>
      </c>
      <c r="E83" t="b">
        <v>0</v>
      </c>
    </row>
    <row r="84" spans="1:41" x14ac:dyDescent="0.3">
      <c r="A84" t="s">
        <v>275</v>
      </c>
      <c r="B84" t="s">
        <v>276</v>
      </c>
      <c r="C84" t="s">
        <v>277</v>
      </c>
      <c r="D84" t="s">
        <v>60</v>
      </c>
      <c r="E84" t="b">
        <v>1</v>
      </c>
      <c r="F84" t="s">
        <v>278</v>
      </c>
      <c r="G84">
        <v>18687900</v>
      </c>
      <c r="H84">
        <v>-32.700000000000003</v>
      </c>
      <c r="I84">
        <v>-7.1</v>
      </c>
      <c r="J84">
        <v>121180000000</v>
      </c>
      <c r="K84">
        <v>104450000000</v>
      </c>
      <c r="L84">
        <v>6484</v>
      </c>
      <c r="M84">
        <v>2023</v>
      </c>
      <c r="N84">
        <v>0.45212682999999998</v>
      </c>
      <c r="O84">
        <v>0.66200000000000003</v>
      </c>
      <c r="P84">
        <v>72.602000000000004</v>
      </c>
      <c r="Q84">
        <v>10.67763042</v>
      </c>
      <c r="R84">
        <v>5.8473000529999997</v>
      </c>
      <c r="S84">
        <v>12458.603999999999</v>
      </c>
      <c r="T84">
        <v>37.9</v>
      </c>
      <c r="U84">
        <v>15.3</v>
      </c>
      <c r="V84">
        <v>28</v>
      </c>
      <c r="W84">
        <v>42.6</v>
      </c>
      <c r="X84">
        <v>34.6</v>
      </c>
      <c r="Y84">
        <v>37.799999999999997</v>
      </c>
      <c r="AO84">
        <v>6.3620000000000001</v>
      </c>
    </row>
    <row r="85" spans="1:41" x14ac:dyDescent="0.3">
      <c r="A85" t="s">
        <v>279</v>
      </c>
      <c r="C85" t="s">
        <v>280</v>
      </c>
      <c r="D85" t="s">
        <v>45</v>
      </c>
      <c r="E85" t="b">
        <v>0</v>
      </c>
      <c r="T85">
        <v>70.2</v>
      </c>
      <c r="U85">
        <v>52.5</v>
      </c>
      <c r="V85">
        <v>62.5</v>
      </c>
      <c r="W85">
        <v>72.400000000000006</v>
      </c>
      <c r="X85">
        <v>65.7</v>
      </c>
      <c r="Y85">
        <v>147.4</v>
      </c>
    </row>
    <row r="86" spans="1:41" x14ac:dyDescent="0.3">
      <c r="A86" t="s">
        <v>281</v>
      </c>
      <c r="B86" t="s">
        <v>282</v>
      </c>
      <c r="C86" t="s">
        <v>283</v>
      </c>
      <c r="D86" t="s">
        <v>49</v>
      </c>
      <c r="E86" t="b">
        <v>1</v>
      </c>
      <c r="G86">
        <v>15099700</v>
      </c>
      <c r="J86">
        <v>30090000000</v>
      </c>
      <c r="K86">
        <v>23010000000</v>
      </c>
      <c r="L86">
        <v>1993</v>
      </c>
      <c r="M86">
        <v>2018</v>
      </c>
      <c r="N86">
        <v>0.29591953999999998</v>
      </c>
      <c r="O86">
        <v>0.5</v>
      </c>
      <c r="P86">
        <v>60.74</v>
      </c>
      <c r="Q86">
        <v>10.393306259999999</v>
      </c>
      <c r="R86">
        <v>2.4863390249999999</v>
      </c>
      <c r="S86">
        <v>3494.3477229999999</v>
      </c>
      <c r="AO86">
        <v>4.9290000000000003</v>
      </c>
    </row>
    <row r="87" spans="1:41" x14ac:dyDescent="0.3">
      <c r="A87" t="s">
        <v>284</v>
      </c>
      <c r="B87" t="s">
        <v>285</v>
      </c>
      <c r="C87" t="s">
        <v>286</v>
      </c>
      <c r="D87" t="s">
        <v>49</v>
      </c>
      <c r="E87" t="b">
        <v>1</v>
      </c>
      <c r="G87">
        <v>2249520</v>
      </c>
      <c r="J87">
        <v>2270000000</v>
      </c>
      <c r="K87">
        <v>1840000000</v>
      </c>
      <c r="L87">
        <v>1011</v>
      </c>
      <c r="M87">
        <v>2021</v>
      </c>
      <c r="N87">
        <v>0.33435068000000001</v>
      </c>
      <c r="O87">
        <v>0.51400000000000001</v>
      </c>
      <c r="P87">
        <v>64.084999999999994</v>
      </c>
      <c r="Q87">
        <v>10.63534621</v>
      </c>
      <c r="R87">
        <v>3.673035</v>
      </c>
      <c r="S87">
        <v>2403.0592369999999</v>
      </c>
    </row>
    <row r="88" spans="1:41" x14ac:dyDescent="0.3">
      <c r="A88" t="s">
        <v>287</v>
      </c>
      <c r="C88" t="s">
        <v>288</v>
      </c>
      <c r="D88" t="s">
        <v>66</v>
      </c>
      <c r="E88" t="b">
        <v>1</v>
      </c>
      <c r="G88">
        <v>835986</v>
      </c>
      <c r="J88">
        <v>25820000000</v>
      </c>
      <c r="K88">
        <v>16680000000</v>
      </c>
      <c r="L88">
        <v>30888</v>
      </c>
      <c r="O88">
        <v>0.77600000000000002</v>
      </c>
      <c r="P88">
        <v>70.180000000000007</v>
      </c>
      <c r="Q88">
        <v>13.022057650000001</v>
      </c>
      <c r="R88">
        <v>8.7024296719999992</v>
      </c>
      <c r="S88">
        <v>46959.251730000004</v>
      </c>
      <c r="T88">
        <v>46.9</v>
      </c>
      <c r="U88">
        <v>19.8</v>
      </c>
      <c r="V88">
        <v>35.1</v>
      </c>
      <c r="W88">
        <v>59</v>
      </c>
      <c r="X88">
        <v>48.2</v>
      </c>
      <c r="Y88">
        <v>61.9</v>
      </c>
    </row>
    <row r="89" spans="1:41" x14ac:dyDescent="0.3">
      <c r="A89" t="s">
        <v>289</v>
      </c>
      <c r="B89" t="s">
        <v>290</v>
      </c>
      <c r="C89" t="s">
        <v>291</v>
      </c>
      <c r="D89" t="s">
        <v>60</v>
      </c>
      <c r="E89" t="b">
        <v>1</v>
      </c>
      <c r="G89">
        <v>11906100</v>
      </c>
      <c r="J89">
        <v>33550000000</v>
      </c>
      <c r="K89">
        <v>19840000000</v>
      </c>
      <c r="L89">
        <v>2818</v>
      </c>
      <c r="M89">
        <v>2012</v>
      </c>
      <c r="N89">
        <v>0.60450804000000002</v>
      </c>
      <c r="O89">
        <v>0.55400000000000005</v>
      </c>
      <c r="P89">
        <v>64.936000000000007</v>
      </c>
      <c r="Q89">
        <v>10.89635878</v>
      </c>
      <c r="R89">
        <v>5.3822998999999996</v>
      </c>
      <c r="S89">
        <v>2934.9258020000002</v>
      </c>
    </row>
    <row r="90" spans="1:41" x14ac:dyDescent="0.3">
      <c r="A90" t="s">
        <v>292</v>
      </c>
      <c r="B90" t="s">
        <v>293</v>
      </c>
      <c r="C90" t="s">
        <v>294</v>
      </c>
      <c r="D90" t="s">
        <v>60</v>
      </c>
      <c r="E90" t="b">
        <v>1</v>
      </c>
      <c r="F90" t="s">
        <v>295</v>
      </c>
      <c r="G90">
        <v>11005800</v>
      </c>
      <c r="H90">
        <v>-29</v>
      </c>
      <c r="I90">
        <v>0.5</v>
      </c>
      <c r="J90">
        <v>38170000000</v>
      </c>
      <c r="K90">
        <v>34400000000</v>
      </c>
      <c r="L90">
        <v>3468</v>
      </c>
      <c r="M90">
        <v>2023</v>
      </c>
      <c r="N90">
        <v>0.46826827999999998</v>
      </c>
      <c r="O90">
        <v>0.64500000000000002</v>
      </c>
      <c r="P90">
        <v>72.884</v>
      </c>
      <c r="Q90">
        <v>10.162206469999999</v>
      </c>
      <c r="R90">
        <v>7.5102290739999997</v>
      </c>
      <c r="S90">
        <v>6064.7857830000003</v>
      </c>
      <c r="T90">
        <v>34.1</v>
      </c>
      <c r="U90">
        <v>11</v>
      </c>
      <c r="V90">
        <v>24.1</v>
      </c>
      <c r="W90">
        <v>38.799999999999997</v>
      </c>
      <c r="X90">
        <v>30.2</v>
      </c>
      <c r="Y90">
        <v>45.3</v>
      </c>
      <c r="AO90">
        <v>5.9640000000000004</v>
      </c>
    </row>
    <row r="91" spans="1:41" x14ac:dyDescent="0.3">
      <c r="A91" t="s">
        <v>296</v>
      </c>
      <c r="C91" t="s">
        <v>297</v>
      </c>
      <c r="D91" t="s">
        <v>41</v>
      </c>
      <c r="E91" t="b">
        <v>0</v>
      </c>
      <c r="F91" t="s">
        <v>298</v>
      </c>
      <c r="G91">
        <v>7396080</v>
      </c>
      <c r="H91">
        <v>-47</v>
      </c>
      <c r="I91">
        <v>-49.8</v>
      </c>
      <c r="J91">
        <v>424000000000</v>
      </c>
      <c r="K91">
        <v>380810000000</v>
      </c>
      <c r="L91">
        <v>57328</v>
      </c>
      <c r="O91">
        <v>0.95499999999999996</v>
      </c>
      <c r="P91">
        <v>85.510999999999996</v>
      </c>
      <c r="Q91">
        <v>16.895860670000001</v>
      </c>
      <c r="R91">
        <v>12.350000380000001</v>
      </c>
      <c r="S91">
        <v>69435.757060000004</v>
      </c>
      <c r="T91">
        <v>72.2</v>
      </c>
      <c r="U91">
        <v>57</v>
      </c>
      <c r="V91">
        <v>65.599999999999994</v>
      </c>
      <c r="W91">
        <v>73.900000000000006</v>
      </c>
      <c r="X91">
        <v>46.8</v>
      </c>
      <c r="Y91">
        <v>110.4</v>
      </c>
      <c r="Z91">
        <v>28.5</v>
      </c>
      <c r="AA91">
        <v>2</v>
      </c>
      <c r="AB91">
        <v>2.2000000000000002</v>
      </c>
      <c r="AC91">
        <v>49.3</v>
      </c>
      <c r="AD91">
        <v>44.5</v>
      </c>
      <c r="AE91">
        <v>207.4</v>
      </c>
      <c r="AF91">
        <v>0.5</v>
      </c>
      <c r="AG91">
        <v>139</v>
      </c>
      <c r="AH91">
        <v>115.5</v>
      </c>
      <c r="AI91">
        <v>78.5</v>
      </c>
      <c r="AJ91">
        <v>66.5</v>
      </c>
      <c r="AK91">
        <v>28.5</v>
      </c>
      <c r="AL91">
        <v>41.8</v>
      </c>
      <c r="AM91">
        <v>66.5</v>
      </c>
      <c r="AN91">
        <v>83.6</v>
      </c>
      <c r="AO91">
        <v>5.4909999999999997</v>
      </c>
    </row>
    <row r="92" spans="1:41" x14ac:dyDescent="0.3">
      <c r="A92" t="s">
        <v>299</v>
      </c>
      <c r="B92" t="s">
        <v>300</v>
      </c>
      <c r="C92" t="s">
        <v>301</v>
      </c>
      <c r="D92" t="s">
        <v>45</v>
      </c>
      <c r="E92" t="b">
        <v>1</v>
      </c>
      <c r="F92" t="s">
        <v>302</v>
      </c>
      <c r="G92">
        <v>9632290</v>
      </c>
      <c r="H92">
        <v>-25.7</v>
      </c>
      <c r="I92">
        <v>-8.1999999999999993</v>
      </c>
      <c r="J92">
        <v>237070000000</v>
      </c>
      <c r="K92">
        <v>212660000000</v>
      </c>
      <c r="L92">
        <v>24612</v>
      </c>
      <c r="M92">
        <v>2022</v>
      </c>
      <c r="N92">
        <v>0.30222823999999998</v>
      </c>
      <c r="O92">
        <v>0.87</v>
      </c>
      <c r="P92">
        <v>77.024000000000001</v>
      </c>
      <c r="Q92">
        <v>15.46940041</v>
      </c>
      <c r="R92">
        <v>12.33162229</v>
      </c>
      <c r="S92">
        <v>37236.074619999999</v>
      </c>
      <c r="T92">
        <v>42.3</v>
      </c>
      <c r="U92">
        <v>13.6</v>
      </c>
      <c r="V92">
        <v>29.8</v>
      </c>
      <c r="W92">
        <v>40.299999999999997</v>
      </c>
      <c r="X92">
        <v>39.4</v>
      </c>
      <c r="Y92">
        <v>79.5</v>
      </c>
      <c r="Z92">
        <v>13.6</v>
      </c>
      <c r="AA92">
        <v>3.3</v>
      </c>
      <c r="AB92">
        <v>3.6</v>
      </c>
      <c r="AC92">
        <v>30.1</v>
      </c>
      <c r="AD92">
        <v>28</v>
      </c>
      <c r="AE92">
        <v>129.6</v>
      </c>
      <c r="AF92">
        <v>0.8</v>
      </c>
      <c r="AG92">
        <v>147.1</v>
      </c>
      <c r="AH92">
        <v>81.400000000000006</v>
      </c>
      <c r="AI92">
        <v>66.3</v>
      </c>
      <c r="AJ92">
        <v>54.1</v>
      </c>
      <c r="AK92">
        <v>13.6</v>
      </c>
      <c r="AL92">
        <v>35.5</v>
      </c>
      <c r="AM92">
        <v>46.7</v>
      </c>
      <c r="AN92">
        <v>79.3</v>
      </c>
      <c r="AO92">
        <v>5.915</v>
      </c>
    </row>
    <row r="93" spans="1:41" x14ac:dyDescent="0.3">
      <c r="A93" t="s">
        <v>303</v>
      </c>
      <c r="B93" t="s">
        <v>304</v>
      </c>
      <c r="C93" t="s">
        <v>305</v>
      </c>
      <c r="D93" t="s">
        <v>45</v>
      </c>
      <c r="E93" t="b">
        <v>1</v>
      </c>
      <c r="G93">
        <v>398266</v>
      </c>
      <c r="J93">
        <v>35310000000</v>
      </c>
      <c r="K93">
        <v>31330000000</v>
      </c>
      <c r="L93">
        <v>88657</v>
      </c>
      <c r="M93">
        <v>2018</v>
      </c>
      <c r="N93">
        <v>0.2656501</v>
      </c>
      <c r="O93">
        <v>0.97199999999999998</v>
      </c>
      <c r="P93">
        <v>82.691000000000003</v>
      </c>
      <c r="Q93">
        <v>18.850589750000001</v>
      </c>
      <c r="R93">
        <v>13.908926279999999</v>
      </c>
      <c r="S93">
        <v>69116.937359999996</v>
      </c>
      <c r="T93">
        <v>94.5</v>
      </c>
      <c r="U93">
        <v>50.1</v>
      </c>
      <c r="V93">
        <v>75.2</v>
      </c>
      <c r="W93">
        <v>102.5</v>
      </c>
      <c r="X93">
        <v>99.3</v>
      </c>
      <c r="Y93">
        <v>120.1</v>
      </c>
      <c r="Z93">
        <v>7.7</v>
      </c>
      <c r="AA93">
        <v>5.9</v>
      </c>
      <c r="AB93">
        <v>6.1</v>
      </c>
      <c r="AC93">
        <v>17.100000000000001</v>
      </c>
      <c r="AD93">
        <v>16.3</v>
      </c>
      <c r="AE93">
        <v>88.9</v>
      </c>
      <c r="AF93">
        <v>1.1000000000000001</v>
      </c>
      <c r="AG93">
        <v>198</v>
      </c>
      <c r="AH93">
        <v>124.3</v>
      </c>
      <c r="AI93">
        <v>74.2</v>
      </c>
      <c r="AJ93">
        <v>67.900000000000006</v>
      </c>
      <c r="AK93">
        <v>7.7</v>
      </c>
      <c r="AL93">
        <v>21.2</v>
      </c>
      <c r="AM93">
        <v>16.7</v>
      </c>
      <c r="AN93">
        <v>68.8</v>
      </c>
      <c r="AO93">
        <v>7.5149999999999997</v>
      </c>
    </row>
    <row r="94" spans="1:41" x14ac:dyDescent="0.3">
      <c r="A94" t="s">
        <v>306</v>
      </c>
      <c r="B94" t="s">
        <v>307</v>
      </c>
      <c r="C94" t="s">
        <v>308</v>
      </c>
      <c r="D94" t="s">
        <v>41</v>
      </c>
      <c r="E94" t="b">
        <v>1</v>
      </c>
      <c r="F94" t="s">
        <v>309</v>
      </c>
      <c r="G94">
        <v>1463870000</v>
      </c>
      <c r="H94">
        <v>-56.2</v>
      </c>
      <c r="I94">
        <v>-38.5</v>
      </c>
      <c r="J94">
        <v>4190000000000</v>
      </c>
      <c r="K94">
        <v>3580000000000</v>
      </c>
      <c r="L94">
        <v>2860</v>
      </c>
      <c r="M94">
        <v>2022</v>
      </c>
      <c r="N94">
        <v>0.25514996000000001</v>
      </c>
      <c r="O94">
        <v>0.68500000000000005</v>
      </c>
      <c r="P94">
        <v>72.003</v>
      </c>
      <c r="Q94">
        <v>12.954540250000001</v>
      </c>
      <c r="R94">
        <v>6.8800001140000004</v>
      </c>
      <c r="S94">
        <v>9046.7563360000004</v>
      </c>
      <c r="T94">
        <v>19</v>
      </c>
      <c r="U94">
        <v>4.7</v>
      </c>
      <c r="V94">
        <v>12.8</v>
      </c>
      <c r="W94">
        <v>21.9</v>
      </c>
      <c r="X94">
        <v>15.2</v>
      </c>
      <c r="Y94">
        <v>83.8</v>
      </c>
      <c r="Z94">
        <v>11.7</v>
      </c>
      <c r="AA94">
        <v>2.7</v>
      </c>
      <c r="AB94">
        <v>3.2</v>
      </c>
      <c r="AC94">
        <v>37</v>
      </c>
      <c r="AD94">
        <v>31</v>
      </c>
      <c r="AE94">
        <v>126.1</v>
      </c>
      <c r="AF94">
        <v>0.8</v>
      </c>
      <c r="AG94">
        <v>124.4</v>
      </c>
      <c r="AH94">
        <v>85.5</v>
      </c>
      <c r="AI94">
        <v>55.8</v>
      </c>
      <c r="AJ94">
        <v>65.5</v>
      </c>
      <c r="AK94">
        <v>11.7</v>
      </c>
      <c r="AL94">
        <v>46.5</v>
      </c>
      <c r="AM94">
        <v>72.8</v>
      </c>
      <c r="AN94">
        <v>64.5</v>
      </c>
      <c r="AO94">
        <v>4.3890000000000002</v>
      </c>
    </row>
    <row r="95" spans="1:41" x14ac:dyDescent="0.3">
      <c r="A95" t="s">
        <v>310</v>
      </c>
      <c r="B95" t="s">
        <v>311</v>
      </c>
      <c r="C95" t="s">
        <v>312</v>
      </c>
      <c r="D95" t="s">
        <v>41</v>
      </c>
      <c r="E95" t="b">
        <v>1</v>
      </c>
      <c r="F95" t="s">
        <v>313</v>
      </c>
      <c r="G95">
        <v>285721000</v>
      </c>
      <c r="H95">
        <v>-57</v>
      </c>
      <c r="I95">
        <v>-41.1</v>
      </c>
      <c r="J95">
        <v>1430000000000</v>
      </c>
      <c r="K95">
        <v>1370000000000</v>
      </c>
      <c r="L95">
        <v>5004</v>
      </c>
      <c r="M95">
        <v>2024</v>
      </c>
      <c r="N95">
        <v>0.34894395</v>
      </c>
      <c r="O95">
        <v>0.72799999999999998</v>
      </c>
      <c r="P95">
        <v>71.146000000000001</v>
      </c>
      <c r="Q95">
        <v>13.33577728</v>
      </c>
      <c r="R95">
        <v>8.6972231999999998</v>
      </c>
      <c r="S95">
        <v>13700.12989</v>
      </c>
      <c r="T95">
        <v>24.6</v>
      </c>
      <c r="U95">
        <v>8.4</v>
      </c>
      <c r="V95">
        <v>17.600000000000001</v>
      </c>
      <c r="W95">
        <v>32.4</v>
      </c>
      <c r="X95">
        <v>14.4</v>
      </c>
      <c r="Y95">
        <v>33.299999999999997</v>
      </c>
      <c r="Z95">
        <v>16.3</v>
      </c>
      <c r="AA95">
        <v>6.7</v>
      </c>
      <c r="AB95">
        <v>6.5</v>
      </c>
      <c r="AC95">
        <v>14.9</v>
      </c>
      <c r="AD95">
        <v>15.4</v>
      </c>
      <c r="AE95">
        <v>180.8</v>
      </c>
      <c r="AF95">
        <v>0.6</v>
      </c>
      <c r="AG95">
        <v>101.6</v>
      </c>
      <c r="AH95">
        <v>34.1</v>
      </c>
      <c r="AI95">
        <v>53.9</v>
      </c>
      <c r="AJ95">
        <v>61.2</v>
      </c>
      <c r="AK95">
        <v>16.3</v>
      </c>
      <c r="AL95">
        <v>43.1</v>
      </c>
      <c r="AM95">
        <v>68.099999999999994</v>
      </c>
      <c r="AN95">
        <v>66.7</v>
      </c>
      <c r="AO95">
        <v>5.617</v>
      </c>
    </row>
    <row r="96" spans="1:41" x14ac:dyDescent="0.3">
      <c r="A96" t="s">
        <v>314</v>
      </c>
      <c r="B96" t="s">
        <v>315</v>
      </c>
      <c r="C96" t="s">
        <v>316</v>
      </c>
      <c r="D96" t="s">
        <v>41</v>
      </c>
      <c r="E96" t="b">
        <v>1</v>
      </c>
      <c r="G96">
        <v>92417700</v>
      </c>
      <c r="J96">
        <v>341010000000</v>
      </c>
      <c r="K96">
        <v>401600000000</v>
      </c>
      <c r="L96">
        <v>3690</v>
      </c>
      <c r="M96">
        <v>2023</v>
      </c>
      <c r="N96">
        <v>0.35884795000000003</v>
      </c>
      <c r="O96">
        <v>0.79900000000000004</v>
      </c>
      <c r="P96">
        <v>77.653999999999996</v>
      </c>
      <c r="Q96">
        <v>13.968330610000001</v>
      </c>
      <c r="R96">
        <v>10.84671198</v>
      </c>
      <c r="S96">
        <v>16095.77169</v>
      </c>
      <c r="T96">
        <v>22.7</v>
      </c>
      <c r="U96">
        <v>7.7</v>
      </c>
      <c r="V96">
        <v>16.2</v>
      </c>
      <c r="W96">
        <v>19.899999999999999</v>
      </c>
      <c r="X96">
        <v>15.1</v>
      </c>
      <c r="Y96">
        <v>32</v>
      </c>
      <c r="Z96">
        <v>18.7</v>
      </c>
      <c r="AA96">
        <v>5.9</v>
      </c>
      <c r="AB96">
        <v>6.6</v>
      </c>
      <c r="AC96">
        <v>16.899999999999999</v>
      </c>
      <c r="AD96">
        <v>15</v>
      </c>
      <c r="AE96">
        <v>432.6</v>
      </c>
      <c r="AF96">
        <v>0.2</v>
      </c>
      <c r="AG96">
        <v>86.7</v>
      </c>
      <c r="AH96">
        <v>32.799999999999997</v>
      </c>
      <c r="AI96">
        <v>49.5</v>
      </c>
      <c r="AJ96">
        <v>52.7</v>
      </c>
      <c r="AK96">
        <v>18.7</v>
      </c>
      <c r="AL96">
        <v>46.8</v>
      </c>
      <c r="AM96">
        <v>75.3</v>
      </c>
      <c r="AN96">
        <v>66.900000000000006</v>
      </c>
      <c r="AO96">
        <v>5.093</v>
      </c>
    </row>
    <row r="97" spans="1:41" x14ac:dyDescent="0.3">
      <c r="A97" t="s">
        <v>317</v>
      </c>
      <c r="B97" t="s">
        <v>318</v>
      </c>
      <c r="C97" t="s">
        <v>319</v>
      </c>
      <c r="D97" t="s">
        <v>41</v>
      </c>
      <c r="E97" t="b">
        <v>1</v>
      </c>
      <c r="G97">
        <v>47020800</v>
      </c>
      <c r="J97">
        <v>258020000000</v>
      </c>
      <c r="K97">
        <v>232110000000</v>
      </c>
      <c r="L97">
        <v>5487</v>
      </c>
      <c r="M97">
        <v>2023</v>
      </c>
      <c r="N97">
        <v>0.29774040000000002</v>
      </c>
      <c r="O97">
        <v>0.69499999999999995</v>
      </c>
      <c r="P97">
        <v>72.323999999999998</v>
      </c>
      <c r="Q97">
        <v>12.359401350000001</v>
      </c>
      <c r="R97">
        <v>6.7800462870000002</v>
      </c>
      <c r="S97">
        <v>12653.52469</v>
      </c>
      <c r="T97">
        <v>27.1</v>
      </c>
      <c r="U97">
        <v>7</v>
      </c>
      <c r="V97">
        <v>18.3</v>
      </c>
      <c r="W97">
        <v>27.5</v>
      </c>
      <c r="X97">
        <v>22.3</v>
      </c>
      <c r="Y97">
        <v>62</v>
      </c>
      <c r="Z97">
        <v>8.3000000000000007</v>
      </c>
      <c r="AA97">
        <v>5.4</v>
      </c>
      <c r="AB97">
        <v>7</v>
      </c>
      <c r="AC97">
        <v>18.5</v>
      </c>
      <c r="AD97">
        <v>14.3</v>
      </c>
      <c r="AE97">
        <v>84.9</v>
      </c>
      <c r="AF97">
        <v>1.2</v>
      </c>
      <c r="AO97">
        <v>4.976</v>
      </c>
    </row>
    <row r="98" spans="1:41" x14ac:dyDescent="0.3">
      <c r="A98" t="s">
        <v>320</v>
      </c>
      <c r="B98" t="s">
        <v>321</v>
      </c>
      <c r="C98" t="s">
        <v>322</v>
      </c>
      <c r="D98" t="s">
        <v>45</v>
      </c>
      <c r="E98" t="b">
        <v>1</v>
      </c>
      <c r="G98">
        <v>5308040</v>
      </c>
      <c r="J98">
        <v>598840000000</v>
      </c>
      <c r="K98">
        <v>551390000000</v>
      </c>
      <c r="L98">
        <v>112818</v>
      </c>
      <c r="M98">
        <v>2022</v>
      </c>
      <c r="N98">
        <v>0.29912030000000001</v>
      </c>
      <c r="O98">
        <v>0.94899999999999995</v>
      </c>
      <c r="P98">
        <v>82.412000000000006</v>
      </c>
      <c r="Q98">
        <v>19.184879299999999</v>
      </c>
      <c r="R98">
        <v>11.724999560000001</v>
      </c>
      <c r="S98">
        <v>90884.634590000001</v>
      </c>
      <c r="T98">
        <v>66.599999999999994</v>
      </c>
      <c r="U98">
        <v>44.7</v>
      </c>
      <c r="V98">
        <v>57</v>
      </c>
      <c r="W98">
        <v>64.7</v>
      </c>
      <c r="X98">
        <v>69.599999999999994</v>
      </c>
      <c r="Y98">
        <v>117.4</v>
      </c>
      <c r="Z98">
        <v>6.8</v>
      </c>
      <c r="AA98">
        <v>7.7</v>
      </c>
      <c r="AB98">
        <v>8</v>
      </c>
      <c r="AC98">
        <v>12.9</v>
      </c>
      <c r="AD98">
        <v>12.5</v>
      </c>
      <c r="AE98">
        <v>51.6</v>
      </c>
      <c r="AF98">
        <v>1.9</v>
      </c>
      <c r="AG98">
        <v>169.6</v>
      </c>
      <c r="AH98">
        <v>122.2</v>
      </c>
      <c r="AI98">
        <v>51.4</v>
      </c>
      <c r="AJ98">
        <v>51.5</v>
      </c>
      <c r="AK98">
        <v>6.8</v>
      </c>
      <c r="AL98">
        <v>37.5</v>
      </c>
      <c r="AM98">
        <v>34.9</v>
      </c>
      <c r="AN98">
        <v>89.8</v>
      </c>
      <c r="AO98">
        <v>6.8890000000000002</v>
      </c>
    </row>
    <row r="99" spans="1:41" x14ac:dyDescent="0.3">
      <c r="A99" t="s">
        <v>323</v>
      </c>
      <c r="C99" t="s">
        <v>324</v>
      </c>
      <c r="D99" t="s">
        <v>45</v>
      </c>
      <c r="E99" t="b">
        <v>0</v>
      </c>
      <c r="T99">
        <v>68.599999999999994</v>
      </c>
      <c r="U99">
        <v>31.6</v>
      </c>
      <c r="V99">
        <v>52.5</v>
      </c>
      <c r="W99">
        <v>60.9</v>
      </c>
      <c r="X99">
        <v>81.599999999999994</v>
      </c>
      <c r="Y99">
        <v>123.7</v>
      </c>
    </row>
    <row r="100" spans="1:41" x14ac:dyDescent="0.3">
      <c r="A100" t="s">
        <v>325</v>
      </c>
      <c r="B100" t="s">
        <v>326</v>
      </c>
      <c r="C100" t="s">
        <v>327</v>
      </c>
      <c r="D100" t="s">
        <v>41</v>
      </c>
      <c r="E100" t="b">
        <v>1</v>
      </c>
      <c r="F100" t="s">
        <v>328</v>
      </c>
      <c r="G100">
        <v>9517180</v>
      </c>
      <c r="H100">
        <v>-1.1000000000000001</v>
      </c>
      <c r="I100">
        <v>8.9</v>
      </c>
      <c r="J100">
        <v>583360000000</v>
      </c>
      <c r="K100">
        <v>513610000000</v>
      </c>
      <c r="L100">
        <v>61296</v>
      </c>
      <c r="M100">
        <v>2021</v>
      </c>
      <c r="N100">
        <v>0.37893850000000001</v>
      </c>
      <c r="O100">
        <v>0.91900000000000004</v>
      </c>
      <c r="P100">
        <v>82.408000000000001</v>
      </c>
      <c r="Q100">
        <v>14.93416023</v>
      </c>
      <c r="R100">
        <v>13.534594739999999</v>
      </c>
      <c r="S100">
        <v>48050.11176</v>
      </c>
      <c r="T100">
        <v>69.599999999999994</v>
      </c>
      <c r="U100">
        <v>28.7</v>
      </c>
      <c r="V100">
        <v>51.8</v>
      </c>
      <c r="W100">
        <v>65.099999999999994</v>
      </c>
      <c r="X100">
        <v>75.3</v>
      </c>
      <c r="Y100">
        <v>124.2</v>
      </c>
      <c r="Z100">
        <v>13.2</v>
      </c>
      <c r="AA100">
        <v>2.7</v>
      </c>
      <c r="AB100">
        <v>2.8</v>
      </c>
      <c r="AC100">
        <v>36.6</v>
      </c>
      <c r="AD100">
        <v>35.9</v>
      </c>
      <c r="AE100">
        <v>104.4</v>
      </c>
      <c r="AF100">
        <v>1</v>
      </c>
      <c r="AG100">
        <v>169.5</v>
      </c>
      <c r="AH100">
        <v>127.8</v>
      </c>
      <c r="AI100">
        <v>68.3</v>
      </c>
      <c r="AJ100">
        <v>73.400000000000006</v>
      </c>
      <c r="AK100">
        <v>13.2</v>
      </c>
      <c r="AL100">
        <v>36.799999999999997</v>
      </c>
      <c r="AM100">
        <v>56.7</v>
      </c>
      <c r="AN100">
        <v>93.8</v>
      </c>
      <c r="AO100">
        <v>7.234</v>
      </c>
    </row>
    <row r="101" spans="1:41" x14ac:dyDescent="0.3">
      <c r="A101" t="s">
        <v>329</v>
      </c>
      <c r="B101" t="s">
        <v>330</v>
      </c>
      <c r="C101" t="s">
        <v>331</v>
      </c>
      <c r="D101" t="s">
        <v>45</v>
      </c>
      <c r="E101" t="b">
        <v>1</v>
      </c>
      <c r="G101">
        <v>59146300</v>
      </c>
      <c r="J101">
        <v>2420000000000</v>
      </c>
      <c r="K101">
        <v>2300000000000</v>
      </c>
      <c r="L101">
        <v>40964</v>
      </c>
      <c r="M101">
        <v>2022</v>
      </c>
      <c r="N101">
        <v>0.33651528000000003</v>
      </c>
      <c r="O101">
        <v>0.91500000000000004</v>
      </c>
      <c r="P101">
        <v>83.715999999999994</v>
      </c>
      <c r="Q101">
        <v>16.714199069999999</v>
      </c>
      <c r="R101">
        <v>10.828128270000001</v>
      </c>
      <c r="S101">
        <v>52388.88306</v>
      </c>
      <c r="T101">
        <v>57.2</v>
      </c>
      <c r="U101">
        <v>20.2</v>
      </c>
      <c r="V101">
        <v>41.1</v>
      </c>
      <c r="W101">
        <v>59.5</v>
      </c>
      <c r="X101">
        <v>57.4</v>
      </c>
      <c r="Y101">
        <v>93.6</v>
      </c>
      <c r="Z101">
        <v>9</v>
      </c>
      <c r="AA101">
        <v>4.4000000000000004</v>
      </c>
      <c r="AB101">
        <v>5.2</v>
      </c>
      <c r="AC101">
        <v>23</v>
      </c>
      <c r="AD101">
        <v>19.100000000000001</v>
      </c>
      <c r="AE101">
        <v>68.099999999999994</v>
      </c>
      <c r="AF101">
        <v>1.5</v>
      </c>
      <c r="AG101">
        <v>154.4</v>
      </c>
      <c r="AH101">
        <v>96</v>
      </c>
      <c r="AI101">
        <v>52.8</v>
      </c>
      <c r="AJ101">
        <v>64.900000000000006</v>
      </c>
      <c r="AK101">
        <v>9</v>
      </c>
      <c r="AL101">
        <v>32.1</v>
      </c>
      <c r="AM101">
        <v>53.4</v>
      </c>
      <c r="AN101">
        <v>90.1</v>
      </c>
      <c r="AO101">
        <v>6.415</v>
      </c>
    </row>
    <row r="102" spans="1:41" x14ac:dyDescent="0.3">
      <c r="A102" t="s">
        <v>332</v>
      </c>
      <c r="B102" t="s">
        <v>333</v>
      </c>
      <c r="C102" t="s">
        <v>334</v>
      </c>
      <c r="D102" t="s">
        <v>49</v>
      </c>
      <c r="E102" t="b">
        <v>1</v>
      </c>
      <c r="G102">
        <v>32711500</v>
      </c>
      <c r="J102">
        <v>94480000000</v>
      </c>
      <c r="K102">
        <v>78790000000</v>
      </c>
      <c r="L102">
        <v>2888</v>
      </c>
      <c r="M102">
        <v>2021</v>
      </c>
      <c r="N102">
        <v>0.35275363999999998</v>
      </c>
      <c r="O102">
        <v>0.58199999999999996</v>
      </c>
      <c r="P102">
        <v>61.944000000000003</v>
      </c>
      <c r="Q102">
        <v>11.411129949999999</v>
      </c>
      <c r="R102">
        <v>4.8699998859999996</v>
      </c>
      <c r="S102">
        <v>6735.4162649999998</v>
      </c>
      <c r="T102">
        <v>42.7</v>
      </c>
      <c r="U102">
        <v>18.399999999999999</v>
      </c>
      <c r="V102">
        <v>32.1</v>
      </c>
      <c r="W102">
        <v>39.799999999999997</v>
      </c>
      <c r="X102">
        <v>31.1</v>
      </c>
      <c r="Y102">
        <v>11</v>
      </c>
      <c r="AO102">
        <v>5.1020000000000003</v>
      </c>
    </row>
    <row r="103" spans="1:41" x14ac:dyDescent="0.3">
      <c r="A103" t="s">
        <v>335</v>
      </c>
      <c r="B103" t="s">
        <v>336</v>
      </c>
      <c r="C103" t="s">
        <v>337</v>
      </c>
      <c r="D103" t="s">
        <v>60</v>
      </c>
      <c r="E103" t="b">
        <v>1</v>
      </c>
      <c r="G103">
        <v>2837080</v>
      </c>
      <c r="J103">
        <v>21410000000</v>
      </c>
      <c r="K103">
        <v>19420000000</v>
      </c>
      <c r="L103">
        <v>7547</v>
      </c>
      <c r="M103">
        <v>2021</v>
      </c>
      <c r="N103">
        <v>0.39874472999999999</v>
      </c>
      <c r="O103">
        <v>0.72</v>
      </c>
      <c r="P103">
        <v>71.478999999999999</v>
      </c>
      <c r="Q103">
        <v>12.383395500000001</v>
      </c>
      <c r="R103">
        <v>9.9599103929999995</v>
      </c>
      <c r="S103">
        <v>10056.98531</v>
      </c>
      <c r="T103">
        <v>50.1</v>
      </c>
      <c r="U103">
        <v>16.7</v>
      </c>
      <c r="V103">
        <v>35.6</v>
      </c>
      <c r="W103">
        <v>59.2</v>
      </c>
      <c r="X103">
        <v>41.2</v>
      </c>
      <c r="Y103">
        <v>39.1</v>
      </c>
      <c r="AO103">
        <v>5.87</v>
      </c>
    </row>
    <row r="104" spans="1:41" x14ac:dyDescent="0.3">
      <c r="A104" t="s">
        <v>338</v>
      </c>
      <c r="B104" t="s">
        <v>339</v>
      </c>
      <c r="C104" t="s">
        <v>340</v>
      </c>
      <c r="D104" t="s">
        <v>41</v>
      </c>
      <c r="E104" t="b">
        <v>1</v>
      </c>
      <c r="F104" t="s">
        <v>341</v>
      </c>
      <c r="G104">
        <v>123103000</v>
      </c>
      <c r="H104">
        <v>-46.3</v>
      </c>
      <c r="I104">
        <v>-41.2</v>
      </c>
      <c r="J104">
        <v>4190000000000</v>
      </c>
      <c r="K104">
        <v>4200000000000</v>
      </c>
      <c r="L104">
        <v>34008</v>
      </c>
      <c r="M104">
        <v>2020</v>
      </c>
      <c r="N104">
        <v>0.32339275000000001</v>
      </c>
      <c r="O104">
        <v>0.92500000000000004</v>
      </c>
      <c r="P104">
        <v>84.712000000000003</v>
      </c>
      <c r="Q104">
        <v>15.511980060000001</v>
      </c>
      <c r="R104">
        <v>12.684046710000001</v>
      </c>
      <c r="S104">
        <v>47774.609729999996</v>
      </c>
      <c r="T104">
        <v>48.9</v>
      </c>
      <c r="U104">
        <v>15.4</v>
      </c>
      <c r="V104">
        <v>34.299999999999997</v>
      </c>
      <c r="W104">
        <v>59.3</v>
      </c>
      <c r="X104">
        <v>30.1</v>
      </c>
      <c r="Y104">
        <v>126.4</v>
      </c>
      <c r="Z104">
        <v>11.3</v>
      </c>
      <c r="AA104">
        <v>2.2999999999999998</v>
      </c>
      <c r="AB104">
        <v>2.7</v>
      </c>
      <c r="AC104">
        <v>43.5</v>
      </c>
      <c r="AD104">
        <v>37.4</v>
      </c>
      <c r="AE104">
        <v>67.7</v>
      </c>
      <c r="AF104">
        <v>1.5</v>
      </c>
      <c r="AG104">
        <v>188.8</v>
      </c>
      <c r="AH104">
        <v>129.4</v>
      </c>
      <c r="AI104">
        <v>77.3</v>
      </c>
      <c r="AJ104">
        <v>80.2</v>
      </c>
      <c r="AK104">
        <v>11.3</v>
      </c>
      <c r="AL104">
        <v>40.1</v>
      </c>
      <c r="AM104">
        <v>38.200000000000003</v>
      </c>
      <c r="AN104">
        <v>84.1</v>
      </c>
      <c r="AO104">
        <v>6.1470000000000002</v>
      </c>
    </row>
    <row r="105" spans="1:41" x14ac:dyDescent="0.3">
      <c r="A105" t="s">
        <v>342</v>
      </c>
      <c r="C105" t="s">
        <v>343</v>
      </c>
      <c r="D105" t="s">
        <v>45</v>
      </c>
      <c r="E105" t="b">
        <v>0</v>
      </c>
    </row>
    <row r="106" spans="1:41" x14ac:dyDescent="0.3">
      <c r="A106" t="s">
        <v>344</v>
      </c>
      <c r="B106" t="s">
        <v>345</v>
      </c>
      <c r="C106" t="s">
        <v>346</v>
      </c>
      <c r="D106" t="s">
        <v>41</v>
      </c>
      <c r="E106" t="b">
        <v>1</v>
      </c>
      <c r="F106" t="s">
        <v>87</v>
      </c>
      <c r="G106">
        <v>11520700</v>
      </c>
      <c r="H106">
        <v>-41.3</v>
      </c>
      <c r="I106">
        <v>-18.3</v>
      </c>
      <c r="J106">
        <v>56100000000</v>
      </c>
      <c r="K106">
        <v>50810000000</v>
      </c>
      <c r="L106">
        <v>4870</v>
      </c>
      <c r="M106">
        <v>2010</v>
      </c>
      <c r="N106">
        <v>0.3365573</v>
      </c>
      <c r="O106">
        <v>0.754</v>
      </c>
      <c r="P106">
        <v>77.813999999999993</v>
      </c>
      <c r="Q106">
        <v>13.109049799999999</v>
      </c>
      <c r="R106">
        <v>10.239999770000001</v>
      </c>
      <c r="S106">
        <v>9221.8723580000005</v>
      </c>
      <c r="T106">
        <v>36.700000000000003</v>
      </c>
      <c r="U106">
        <v>7.9</v>
      </c>
      <c r="V106">
        <v>24.2</v>
      </c>
      <c r="W106">
        <v>34.6</v>
      </c>
      <c r="X106">
        <v>34.299999999999997</v>
      </c>
      <c r="Y106">
        <v>56.4</v>
      </c>
      <c r="Z106">
        <v>7.5</v>
      </c>
      <c r="AA106">
        <v>6.2</v>
      </c>
      <c r="AB106">
        <v>6.3</v>
      </c>
      <c r="AC106">
        <v>16.2</v>
      </c>
      <c r="AD106">
        <v>15.8</v>
      </c>
      <c r="AE106">
        <v>73.2</v>
      </c>
      <c r="AF106">
        <v>1.4</v>
      </c>
      <c r="AG106">
        <v>126.9</v>
      </c>
      <c r="AH106">
        <v>57.4</v>
      </c>
      <c r="AI106">
        <v>60.2</v>
      </c>
      <c r="AJ106">
        <v>65.5</v>
      </c>
      <c r="AK106">
        <v>7.5</v>
      </c>
      <c r="AL106">
        <v>40.299999999999997</v>
      </c>
      <c r="AM106">
        <v>77.099999999999994</v>
      </c>
      <c r="AN106">
        <v>91.2</v>
      </c>
      <c r="AO106">
        <v>4.3099999999999996</v>
      </c>
    </row>
    <row r="107" spans="1:41" x14ac:dyDescent="0.3">
      <c r="A107" t="s">
        <v>347</v>
      </c>
      <c r="B107" t="s">
        <v>348</v>
      </c>
      <c r="C107" t="s">
        <v>349</v>
      </c>
      <c r="D107" t="s">
        <v>41</v>
      </c>
      <c r="E107" t="b">
        <v>1</v>
      </c>
      <c r="G107">
        <v>20843800</v>
      </c>
      <c r="J107">
        <v>300540000000</v>
      </c>
      <c r="K107">
        <v>264290000000</v>
      </c>
      <c r="L107">
        <v>14419</v>
      </c>
      <c r="M107">
        <v>2021</v>
      </c>
      <c r="N107">
        <v>0.29191532999999997</v>
      </c>
      <c r="O107">
        <v>0.83699999999999997</v>
      </c>
      <c r="P107">
        <v>74.402000000000001</v>
      </c>
      <c r="Q107">
        <v>14.0086174</v>
      </c>
      <c r="R107">
        <v>12.54717423</v>
      </c>
      <c r="S107">
        <v>30988.528439999998</v>
      </c>
      <c r="T107">
        <v>26.6</v>
      </c>
      <c r="U107">
        <v>10.6</v>
      </c>
      <c r="V107">
        <v>19.600000000000001</v>
      </c>
      <c r="W107">
        <v>27.8</v>
      </c>
      <c r="X107">
        <v>25.9</v>
      </c>
      <c r="Y107">
        <v>54.9</v>
      </c>
      <c r="Z107">
        <v>9.6999999999999993</v>
      </c>
      <c r="AA107">
        <v>8.1999999999999993</v>
      </c>
      <c r="AB107">
        <v>7.8</v>
      </c>
      <c r="AC107">
        <v>12.2</v>
      </c>
      <c r="AD107">
        <v>12.9</v>
      </c>
      <c r="AE107">
        <v>179.2</v>
      </c>
      <c r="AF107">
        <v>0.6</v>
      </c>
      <c r="AG107">
        <v>108.2</v>
      </c>
      <c r="AH107">
        <v>56.5</v>
      </c>
      <c r="AI107">
        <v>54.4</v>
      </c>
      <c r="AJ107">
        <v>60.7</v>
      </c>
      <c r="AK107">
        <v>9.6999999999999993</v>
      </c>
      <c r="AL107">
        <v>35.799999999999997</v>
      </c>
      <c r="AM107">
        <v>72.900000000000006</v>
      </c>
      <c r="AN107">
        <v>38.799999999999997</v>
      </c>
      <c r="AO107">
        <v>6.3780000000000001</v>
      </c>
    </row>
    <row r="108" spans="1:41" x14ac:dyDescent="0.3">
      <c r="A108" t="s">
        <v>350</v>
      </c>
      <c r="B108" t="s">
        <v>351</v>
      </c>
      <c r="C108" t="s">
        <v>352</v>
      </c>
      <c r="D108" t="s">
        <v>49</v>
      </c>
      <c r="E108" t="b">
        <v>1</v>
      </c>
      <c r="G108">
        <v>57532500</v>
      </c>
      <c r="J108">
        <v>131670000000</v>
      </c>
      <c r="K108">
        <v>108040000000</v>
      </c>
      <c r="L108">
        <v>2289</v>
      </c>
      <c r="M108">
        <v>2021</v>
      </c>
      <c r="N108">
        <v>0.38701963</v>
      </c>
      <c r="O108">
        <v>0.628</v>
      </c>
      <c r="P108">
        <v>63.646000000000001</v>
      </c>
      <c r="Q108">
        <v>11.474075729999999</v>
      </c>
      <c r="R108">
        <v>8.6247100830000001</v>
      </c>
      <c r="S108">
        <v>5608.2960659999999</v>
      </c>
      <c r="T108">
        <v>28.5</v>
      </c>
      <c r="U108">
        <v>8.1999999999999993</v>
      </c>
      <c r="V108">
        <v>19.600000000000001</v>
      </c>
      <c r="W108">
        <v>30.1</v>
      </c>
      <c r="X108">
        <v>24.9</v>
      </c>
      <c r="Y108">
        <v>36.1</v>
      </c>
      <c r="AG108">
        <v>95.4</v>
      </c>
      <c r="AH108">
        <v>36.9</v>
      </c>
      <c r="AI108">
        <v>44.2</v>
      </c>
      <c r="AJ108">
        <v>62.2</v>
      </c>
      <c r="AK108">
        <v>20.7</v>
      </c>
      <c r="AL108">
        <v>51.6</v>
      </c>
      <c r="AM108">
        <v>69</v>
      </c>
      <c r="AN108">
        <v>87.1</v>
      </c>
      <c r="AO108">
        <v>4.51</v>
      </c>
    </row>
    <row r="109" spans="1:41" x14ac:dyDescent="0.3">
      <c r="A109" t="s">
        <v>353</v>
      </c>
      <c r="B109" t="s">
        <v>354</v>
      </c>
      <c r="C109" t="s">
        <v>355</v>
      </c>
      <c r="D109" t="s">
        <v>52</v>
      </c>
      <c r="E109" t="b">
        <v>1</v>
      </c>
      <c r="G109">
        <v>136488</v>
      </c>
      <c r="J109">
        <v>312000000</v>
      </c>
      <c r="K109">
        <v>288610000</v>
      </c>
      <c r="L109">
        <v>2286</v>
      </c>
      <c r="M109">
        <v>2019</v>
      </c>
      <c r="N109">
        <v>0.27832701999999998</v>
      </c>
      <c r="O109">
        <v>0.64400000000000002</v>
      </c>
      <c r="P109">
        <v>66.472999999999999</v>
      </c>
      <c r="Q109">
        <v>11.87390648</v>
      </c>
      <c r="R109">
        <v>9.1285815689999996</v>
      </c>
      <c r="S109">
        <v>4947.2804260000003</v>
      </c>
    </row>
    <row r="110" spans="1:41" x14ac:dyDescent="0.3">
      <c r="A110" t="s">
        <v>356</v>
      </c>
      <c r="C110" t="s">
        <v>357</v>
      </c>
      <c r="D110" t="s">
        <v>41</v>
      </c>
      <c r="E110" t="b">
        <v>1</v>
      </c>
      <c r="F110" t="s">
        <v>87</v>
      </c>
      <c r="G110">
        <v>5026080</v>
      </c>
      <c r="H110">
        <v>-23.8</v>
      </c>
      <c r="I110">
        <v>-9.4</v>
      </c>
      <c r="J110">
        <v>153100000000</v>
      </c>
      <c r="K110">
        <v>163710000000</v>
      </c>
      <c r="L110">
        <v>30461</v>
      </c>
      <c r="O110">
        <v>0.85199999999999998</v>
      </c>
      <c r="P110">
        <v>80.405000000000001</v>
      </c>
      <c r="Q110">
        <v>15.904240290000001</v>
      </c>
      <c r="R110">
        <v>7.5660071120000003</v>
      </c>
      <c r="S110">
        <v>56612.046990000003</v>
      </c>
      <c r="T110">
        <v>40.4</v>
      </c>
      <c r="U110">
        <v>22.3</v>
      </c>
      <c r="V110">
        <v>32.5</v>
      </c>
      <c r="W110">
        <v>33.6</v>
      </c>
      <c r="X110">
        <v>39.700000000000003</v>
      </c>
      <c r="Y110">
        <v>190.4</v>
      </c>
      <c r="Z110">
        <v>7.1</v>
      </c>
      <c r="AA110">
        <v>3.3</v>
      </c>
      <c r="AB110">
        <v>5.3</v>
      </c>
      <c r="AC110">
        <v>30.6</v>
      </c>
      <c r="AD110">
        <v>19</v>
      </c>
      <c r="AE110">
        <v>59.6</v>
      </c>
      <c r="AF110">
        <v>1.7</v>
      </c>
      <c r="AG110">
        <v>167.9</v>
      </c>
      <c r="AH110">
        <v>197.2</v>
      </c>
      <c r="AI110">
        <v>67.3</v>
      </c>
      <c r="AJ110">
        <v>58.4</v>
      </c>
      <c r="AK110">
        <v>7.1</v>
      </c>
      <c r="AL110">
        <v>34.700000000000003</v>
      </c>
      <c r="AM110">
        <v>69.400000000000006</v>
      </c>
      <c r="AN110">
        <v>20.2</v>
      </c>
      <c r="AO110">
        <v>6.6289999999999996</v>
      </c>
    </row>
    <row r="111" spans="1:41" x14ac:dyDescent="0.3">
      <c r="A111" t="s">
        <v>358</v>
      </c>
      <c r="B111" t="s">
        <v>359</v>
      </c>
      <c r="C111" t="s">
        <v>360</v>
      </c>
      <c r="D111" t="s">
        <v>41</v>
      </c>
      <c r="E111" t="b">
        <v>1</v>
      </c>
      <c r="G111">
        <v>7295030</v>
      </c>
      <c r="J111">
        <v>19850000000</v>
      </c>
      <c r="K111">
        <v>13990000000</v>
      </c>
      <c r="L111">
        <v>2721</v>
      </c>
      <c r="M111">
        <v>2022</v>
      </c>
      <c r="N111">
        <v>0.26352527999999997</v>
      </c>
      <c r="O111">
        <v>0.72</v>
      </c>
      <c r="P111">
        <v>71.677000000000007</v>
      </c>
      <c r="Q111">
        <v>12.71388245</v>
      </c>
      <c r="R111">
        <v>12.065888579999999</v>
      </c>
      <c r="S111">
        <v>6078.1175890000004</v>
      </c>
      <c r="T111">
        <v>25.6</v>
      </c>
      <c r="U111">
        <v>11.4</v>
      </c>
      <c r="V111">
        <v>19.399999999999999</v>
      </c>
      <c r="W111">
        <v>27.1</v>
      </c>
      <c r="X111">
        <v>20.6</v>
      </c>
      <c r="Y111">
        <v>42.2</v>
      </c>
      <c r="Z111">
        <v>14.6</v>
      </c>
      <c r="AA111">
        <v>7.3</v>
      </c>
      <c r="AB111">
        <v>8</v>
      </c>
      <c r="AC111">
        <v>13.7</v>
      </c>
      <c r="AD111">
        <v>12.6</v>
      </c>
      <c r="AE111">
        <v>302.10000000000002</v>
      </c>
      <c r="AF111">
        <v>0.3</v>
      </c>
      <c r="AO111">
        <v>5.8579999999999997</v>
      </c>
    </row>
    <row r="112" spans="1:41" x14ac:dyDescent="0.3">
      <c r="A112" t="s">
        <v>361</v>
      </c>
      <c r="B112" t="s">
        <v>362</v>
      </c>
      <c r="C112" t="s">
        <v>363</v>
      </c>
      <c r="D112" t="s">
        <v>41</v>
      </c>
      <c r="E112" t="b">
        <v>1</v>
      </c>
      <c r="G112">
        <v>7873050</v>
      </c>
      <c r="J112">
        <v>16320000000</v>
      </c>
      <c r="K112">
        <v>15010000000</v>
      </c>
      <c r="L112">
        <v>2073</v>
      </c>
      <c r="M112">
        <v>2018</v>
      </c>
      <c r="N112">
        <v>0.38802432999999997</v>
      </c>
      <c r="O112">
        <v>0.61699999999999999</v>
      </c>
      <c r="P112">
        <v>68.963999999999999</v>
      </c>
      <c r="Q112">
        <v>9.6054830550000005</v>
      </c>
      <c r="R112">
        <v>6.0602461600000002</v>
      </c>
      <c r="S112">
        <v>8106.1532180000004</v>
      </c>
      <c r="AO112">
        <v>5.3010000000000002</v>
      </c>
    </row>
    <row r="113" spans="1:41" x14ac:dyDescent="0.3">
      <c r="A113" t="s">
        <v>364</v>
      </c>
      <c r="B113" t="s">
        <v>365</v>
      </c>
      <c r="C113" t="s">
        <v>366</v>
      </c>
      <c r="D113" t="s">
        <v>45</v>
      </c>
      <c r="E113" t="b">
        <v>1</v>
      </c>
      <c r="G113">
        <v>1853560</v>
      </c>
      <c r="J113">
        <v>45530000000</v>
      </c>
      <c r="K113">
        <v>42250000000</v>
      </c>
      <c r="L113">
        <v>24566</v>
      </c>
      <c r="M113">
        <v>2022</v>
      </c>
      <c r="N113">
        <v>0.33675845999999998</v>
      </c>
      <c r="O113">
        <v>0.88900000000000001</v>
      </c>
      <c r="P113">
        <v>76.19</v>
      </c>
      <c r="Q113">
        <v>16.482650759999999</v>
      </c>
      <c r="R113">
        <v>13.40943983</v>
      </c>
      <c r="S113">
        <v>37997.822330000003</v>
      </c>
      <c r="T113">
        <v>49</v>
      </c>
      <c r="U113">
        <v>11.6</v>
      </c>
      <c r="V113">
        <v>32.700000000000003</v>
      </c>
      <c r="W113">
        <v>44.7</v>
      </c>
      <c r="X113">
        <v>49.7</v>
      </c>
      <c r="Y113">
        <v>82.1</v>
      </c>
      <c r="Z113">
        <v>8.6</v>
      </c>
      <c r="AA113">
        <v>3.9</v>
      </c>
      <c r="AB113">
        <v>4.2</v>
      </c>
      <c r="AC113">
        <v>26</v>
      </c>
      <c r="AD113">
        <v>23.6</v>
      </c>
      <c r="AE113">
        <v>64</v>
      </c>
      <c r="AF113">
        <v>1.6</v>
      </c>
      <c r="AG113">
        <v>168.1</v>
      </c>
      <c r="AH113">
        <v>83.6</v>
      </c>
      <c r="AI113">
        <v>63.4</v>
      </c>
      <c r="AJ113">
        <v>62.9</v>
      </c>
      <c r="AK113">
        <v>8.6</v>
      </c>
      <c r="AL113">
        <v>28.6</v>
      </c>
      <c r="AM113">
        <v>30.1</v>
      </c>
      <c r="AN113">
        <v>76.8</v>
      </c>
      <c r="AO113">
        <v>6.2069999999999999</v>
      </c>
    </row>
    <row r="114" spans="1:41" x14ac:dyDescent="0.3">
      <c r="A114" t="s">
        <v>367</v>
      </c>
      <c r="B114" t="s">
        <v>368</v>
      </c>
      <c r="C114" t="s">
        <v>369</v>
      </c>
      <c r="D114" t="s">
        <v>41</v>
      </c>
      <c r="E114" t="b">
        <v>1</v>
      </c>
      <c r="F114" t="s">
        <v>211</v>
      </c>
      <c r="G114">
        <v>5849420</v>
      </c>
      <c r="H114">
        <v>-10.8</v>
      </c>
      <c r="K114">
        <v>27460000000</v>
      </c>
      <c r="L114">
        <v>4695</v>
      </c>
      <c r="M114">
        <v>2022</v>
      </c>
      <c r="N114">
        <v>0.35281137000000001</v>
      </c>
      <c r="O114">
        <v>0.752</v>
      </c>
      <c r="P114">
        <v>77.816999999999993</v>
      </c>
      <c r="Q114">
        <v>11.68299961</v>
      </c>
      <c r="R114">
        <v>10.369999890000001</v>
      </c>
      <c r="S114">
        <v>11298.88724</v>
      </c>
      <c r="T114">
        <v>40.5</v>
      </c>
      <c r="U114">
        <v>13.7</v>
      </c>
      <c r="V114">
        <v>28.8</v>
      </c>
      <c r="W114">
        <v>33.5</v>
      </c>
      <c r="X114">
        <v>39.200000000000003</v>
      </c>
      <c r="Y114">
        <v>39.299999999999997</v>
      </c>
      <c r="Z114">
        <v>13.8</v>
      </c>
      <c r="AA114">
        <v>6.7</v>
      </c>
      <c r="AB114">
        <v>6.7</v>
      </c>
      <c r="AC114">
        <v>14.9</v>
      </c>
      <c r="AD114">
        <v>14.9</v>
      </c>
      <c r="AE114">
        <v>170.9</v>
      </c>
      <c r="AF114">
        <v>0.6</v>
      </c>
      <c r="AG114">
        <v>102.8</v>
      </c>
      <c r="AH114">
        <v>40.299999999999997</v>
      </c>
      <c r="AI114">
        <v>53.1</v>
      </c>
      <c r="AJ114">
        <v>63.7</v>
      </c>
      <c r="AK114">
        <v>13.8</v>
      </c>
      <c r="AL114">
        <v>38.5</v>
      </c>
      <c r="AM114">
        <v>89.6</v>
      </c>
      <c r="AN114">
        <v>94.7</v>
      </c>
      <c r="AO114">
        <v>3.1880000000000002</v>
      </c>
    </row>
    <row r="115" spans="1:41" x14ac:dyDescent="0.3">
      <c r="A115" t="s">
        <v>370</v>
      </c>
      <c r="B115" t="s">
        <v>371</v>
      </c>
      <c r="C115" t="s">
        <v>372</v>
      </c>
      <c r="D115" t="s">
        <v>49</v>
      </c>
      <c r="E115" t="b">
        <v>1</v>
      </c>
      <c r="G115">
        <v>2363320</v>
      </c>
      <c r="J115">
        <v>2400000000</v>
      </c>
      <c r="K115">
        <v>2120000000</v>
      </c>
      <c r="L115">
        <v>1017</v>
      </c>
      <c r="M115">
        <v>2017</v>
      </c>
      <c r="N115">
        <v>0.44877613</v>
      </c>
      <c r="O115">
        <v>0.55000000000000004</v>
      </c>
      <c r="P115">
        <v>57.375</v>
      </c>
      <c r="Q115">
        <v>10.98659352</v>
      </c>
      <c r="R115">
        <v>7.7298834860000003</v>
      </c>
      <c r="S115">
        <v>3029.3856999999998</v>
      </c>
      <c r="AO115">
        <v>3.7570000000000001</v>
      </c>
    </row>
    <row r="116" spans="1:41" x14ac:dyDescent="0.3">
      <c r="A116" t="s">
        <v>373</v>
      </c>
      <c r="B116" t="s">
        <v>374</v>
      </c>
      <c r="C116" t="s">
        <v>375</v>
      </c>
      <c r="D116" t="s">
        <v>49</v>
      </c>
      <c r="E116" t="b">
        <v>1</v>
      </c>
      <c r="G116">
        <v>5731210</v>
      </c>
      <c r="J116">
        <v>5170000000</v>
      </c>
      <c r="K116">
        <v>5040000000</v>
      </c>
      <c r="L116">
        <v>901</v>
      </c>
      <c r="M116">
        <v>2016</v>
      </c>
      <c r="N116">
        <v>0.35265439999999998</v>
      </c>
      <c r="O116">
        <v>0.51</v>
      </c>
      <c r="P116">
        <v>62.162999999999997</v>
      </c>
      <c r="Q116">
        <v>10.465853689999999</v>
      </c>
      <c r="R116">
        <v>6.1698919549999998</v>
      </c>
      <c r="S116">
        <v>1537.8593900000001</v>
      </c>
      <c r="AO116">
        <v>4.2770000000000001</v>
      </c>
    </row>
    <row r="117" spans="1:41" x14ac:dyDescent="0.3">
      <c r="A117" t="s">
        <v>376</v>
      </c>
      <c r="C117" t="s">
        <v>377</v>
      </c>
      <c r="D117" t="s">
        <v>49</v>
      </c>
      <c r="E117" t="b">
        <v>1</v>
      </c>
      <c r="G117">
        <v>7458560</v>
      </c>
      <c r="J117">
        <v>47480000000</v>
      </c>
      <c r="K117">
        <v>44030000000</v>
      </c>
      <c r="L117">
        <v>6366</v>
      </c>
      <c r="O117">
        <v>0.72099999999999997</v>
      </c>
      <c r="P117">
        <v>69.338999999999999</v>
      </c>
      <c r="Q117">
        <v>12.92465677</v>
      </c>
      <c r="R117">
        <v>7.77860643</v>
      </c>
      <c r="S117">
        <v>19831.432359999999</v>
      </c>
      <c r="T117">
        <v>17.2</v>
      </c>
      <c r="U117">
        <v>3.8</v>
      </c>
      <c r="V117">
        <v>11.3</v>
      </c>
      <c r="W117">
        <v>20.9</v>
      </c>
      <c r="X117">
        <v>11.6</v>
      </c>
      <c r="Y117">
        <v>55.9</v>
      </c>
      <c r="AO117">
        <v>5.82</v>
      </c>
    </row>
    <row r="118" spans="1:41" x14ac:dyDescent="0.3">
      <c r="A118" t="s">
        <v>378</v>
      </c>
      <c r="C118" t="s">
        <v>379</v>
      </c>
      <c r="D118" t="s">
        <v>45</v>
      </c>
      <c r="E118" t="b">
        <v>1</v>
      </c>
      <c r="G118">
        <v>40128</v>
      </c>
      <c r="K118">
        <v>7970000000</v>
      </c>
      <c r="L118">
        <v>198494</v>
      </c>
      <c r="O118">
        <v>0.93799999999999994</v>
      </c>
      <c r="P118">
        <v>83.63</v>
      </c>
      <c r="Q118">
        <v>15.412579539999999</v>
      </c>
      <c r="R118">
        <v>12.40995938</v>
      </c>
      <c r="S118">
        <v>166811.6741</v>
      </c>
    </row>
    <row r="119" spans="1:41" x14ac:dyDescent="0.3">
      <c r="A119" t="s">
        <v>380</v>
      </c>
      <c r="B119" t="s">
        <v>381</v>
      </c>
      <c r="C119" t="s">
        <v>382</v>
      </c>
      <c r="D119" t="s">
        <v>45</v>
      </c>
      <c r="E119" t="b">
        <v>1</v>
      </c>
      <c r="G119">
        <v>2830140</v>
      </c>
      <c r="J119">
        <v>89190000000</v>
      </c>
      <c r="K119">
        <v>79790000000</v>
      </c>
      <c r="L119">
        <v>31515</v>
      </c>
      <c r="M119">
        <v>2022</v>
      </c>
      <c r="N119">
        <v>0.3656239</v>
      </c>
      <c r="O119">
        <v>0.89500000000000002</v>
      </c>
      <c r="P119">
        <v>76.025000000000006</v>
      </c>
      <c r="Q119">
        <v>16.45467949</v>
      </c>
      <c r="R119">
        <v>13.610692390000001</v>
      </c>
      <c r="S119">
        <v>41916.465790000002</v>
      </c>
      <c r="T119">
        <v>48.3</v>
      </c>
      <c r="U119">
        <v>16.2</v>
      </c>
      <c r="V119">
        <v>34.299999999999997</v>
      </c>
      <c r="W119">
        <v>43.5</v>
      </c>
      <c r="X119">
        <v>51.1</v>
      </c>
      <c r="Y119">
        <v>90.7</v>
      </c>
      <c r="Z119">
        <v>11.1</v>
      </c>
      <c r="AA119">
        <v>3.8</v>
      </c>
      <c r="AB119">
        <v>3.8</v>
      </c>
      <c r="AC119">
        <v>26.6</v>
      </c>
      <c r="AD119">
        <v>26.3</v>
      </c>
      <c r="AE119">
        <v>83.1</v>
      </c>
      <c r="AF119">
        <v>1.2</v>
      </c>
      <c r="AG119">
        <v>178.8</v>
      </c>
      <c r="AH119">
        <v>92.9</v>
      </c>
      <c r="AI119">
        <v>67</v>
      </c>
      <c r="AJ119">
        <v>74.7</v>
      </c>
      <c r="AK119">
        <v>11.1</v>
      </c>
      <c r="AL119">
        <v>23.6</v>
      </c>
      <c r="AM119">
        <v>25.9</v>
      </c>
      <c r="AN119">
        <v>69.900000000000006</v>
      </c>
      <c r="AO119">
        <v>6.8289999999999997</v>
      </c>
    </row>
    <row r="120" spans="1:41" x14ac:dyDescent="0.3">
      <c r="A120" t="s">
        <v>383</v>
      </c>
      <c r="B120" t="s">
        <v>384</v>
      </c>
      <c r="C120" t="s">
        <v>385</v>
      </c>
      <c r="D120" t="s">
        <v>45</v>
      </c>
      <c r="E120" t="b">
        <v>1</v>
      </c>
      <c r="G120">
        <v>680453</v>
      </c>
      <c r="J120">
        <v>96610000000</v>
      </c>
      <c r="K120">
        <v>85750000000</v>
      </c>
      <c r="L120">
        <v>141983</v>
      </c>
      <c r="M120">
        <v>2022</v>
      </c>
      <c r="N120">
        <v>0.34093987999999997</v>
      </c>
      <c r="O120">
        <v>0.92200000000000004</v>
      </c>
      <c r="P120">
        <v>82.228999999999999</v>
      </c>
      <c r="Q120">
        <v>14.35795021</v>
      </c>
      <c r="R120">
        <v>12.58937195</v>
      </c>
      <c r="S120">
        <v>85461.248330000002</v>
      </c>
      <c r="T120">
        <v>73.5</v>
      </c>
      <c r="U120">
        <v>48</v>
      </c>
      <c r="V120">
        <v>62.4</v>
      </c>
      <c r="W120">
        <v>73.400000000000006</v>
      </c>
      <c r="X120">
        <v>75.900000000000006</v>
      </c>
      <c r="Y120">
        <v>176</v>
      </c>
      <c r="Z120">
        <v>9.6</v>
      </c>
      <c r="AA120">
        <v>3.5</v>
      </c>
      <c r="AB120">
        <v>3.8</v>
      </c>
      <c r="AC120">
        <v>28.4</v>
      </c>
      <c r="AD120">
        <v>26.1</v>
      </c>
      <c r="AE120">
        <v>64.900000000000006</v>
      </c>
      <c r="AF120">
        <v>1.5</v>
      </c>
      <c r="AG120">
        <v>218.2</v>
      </c>
      <c r="AH120">
        <v>183.1</v>
      </c>
      <c r="AI120">
        <v>66</v>
      </c>
      <c r="AJ120">
        <v>75.099999999999994</v>
      </c>
      <c r="AK120">
        <v>9.6</v>
      </c>
      <c r="AL120">
        <v>27</v>
      </c>
      <c r="AM120">
        <v>22.9</v>
      </c>
      <c r="AN120">
        <v>82.6</v>
      </c>
      <c r="AO120">
        <v>7.1219999999999999</v>
      </c>
    </row>
    <row r="121" spans="1:41" x14ac:dyDescent="0.3">
      <c r="A121" t="s">
        <v>386</v>
      </c>
      <c r="C121" t="s">
        <v>387</v>
      </c>
      <c r="D121" t="s">
        <v>41</v>
      </c>
      <c r="E121" t="b">
        <v>0</v>
      </c>
      <c r="G121">
        <v>722007</v>
      </c>
      <c r="J121">
        <v>53350000000</v>
      </c>
      <c r="K121">
        <v>45800000000</v>
      </c>
      <c r="L121">
        <v>73897</v>
      </c>
      <c r="T121">
        <v>56</v>
      </c>
      <c r="U121">
        <v>28.5</v>
      </c>
      <c r="V121">
        <v>44</v>
      </c>
      <c r="W121">
        <v>64.900000000000006</v>
      </c>
      <c r="X121">
        <v>39.799999999999997</v>
      </c>
      <c r="Y121">
        <v>93.4</v>
      </c>
    </row>
    <row r="122" spans="1:41" x14ac:dyDescent="0.3">
      <c r="A122" t="s">
        <v>388</v>
      </c>
      <c r="B122" t="s">
        <v>389</v>
      </c>
      <c r="C122" t="s">
        <v>390</v>
      </c>
      <c r="D122" t="s">
        <v>49</v>
      </c>
      <c r="E122" t="b">
        <v>1</v>
      </c>
      <c r="G122">
        <v>32740700</v>
      </c>
      <c r="J122">
        <v>18710000000</v>
      </c>
      <c r="K122">
        <v>15870000000</v>
      </c>
      <c r="L122">
        <v>571</v>
      </c>
      <c r="M122">
        <v>2012</v>
      </c>
      <c r="N122">
        <v>0.42533894999999999</v>
      </c>
      <c r="O122">
        <v>0.48699999999999999</v>
      </c>
      <c r="P122">
        <v>63.631999999999998</v>
      </c>
      <c r="Q122">
        <v>9.0625845030000001</v>
      </c>
      <c r="R122">
        <v>4.5925202369999996</v>
      </c>
      <c r="S122">
        <v>1655.7646830000001</v>
      </c>
      <c r="T122">
        <v>22.2</v>
      </c>
      <c r="U122">
        <v>6.6</v>
      </c>
      <c r="V122">
        <v>15.4</v>
      </c>
      <c r="W122">
        <v>23.4</v>
      </c>
      <c r="X122">
        <v>15.4</v>
      </c>
      <c r="Y122">
        <v>14.8</v>
      </c>
      <c r="AO122">
        <v>4.157</v>
      </c>
    </row>
    <row r="123" spans="1:41" x14ac:dyDescent="0.3">
      <c r="A123" t="s">
        <v>391</v>
      </c>
      <c r="B123" t="s">
        <v>392</v>
      </c>
      <c r="C123" t="s">
        <v>393</v>
      </c>
      <c r="D123" t="s">
        <v>49</v>
      </c>
      <c r="E123" t="b">
        <v>1</v>
      </c>
      <c r="G123">
        <v>22216100</v>
      </c>
      <c r="J123">
        <v>13960000000</v>
      </c>
      <c r="K123">
        <v>12630000000</v>
      </c>
      <c r="L123">
        <v>628</v>
      </c>
      <c r="M123">
        <v>2019</v>
      </c>
      <c r="N123">
        <v>0.38542736</v>
      </c>
      <c r="O123">
        <v>0.51700000000000002</v>
      </c>
      <c r="P123">
        <v>67.352999999999994</v>
      </c>
      <c r="Q123">
        <v>9.9025917050000007</v>
      </c>
      <c r="R123">
        <v>5.2437400820000004</v>
      </c>
      <c r="S123">
        <v>1633.6926149999999</v>
      </c>
      <c r="AO123">
        <v>3.26</v>
      </c>
    </row>
    <row r="124" spans="1:41" x14ac:dyDescent="0.3">
      <c r="A124" t="s">
        <v>394</v>
      </c>
      <c r="B124" t="s">
        <v>395</v>
      </c>
      <c r="C124" t="s">
        <v>396</v>
      </c>
      <c r="D124" t="s">
        <v>41</v>
      </c>
      <c r="E124" t="b">
        <v>1</v>
      </c>
      <c r="F124" t="s">
        <v>397</v>
      </c>
      <c r="G124">
        <v>35977800</v>
      </c>
      <c r="H124">
        <v>-46.9</v>
      </c>
      <c r="I124">
        <v>-32</v>
      </c>
      <c r="J124">
        <v>444980000000</v>
      </c>
      <c r="K124">
        <v>399650000000</v>
      </c>
      <c r="L124">
        <v>12368</v>
      </c>
      <c r="M124">
        <v>2021</v>
      </c>
      <c r="N124">
        <v>0.40668428000000001</v>
      </c>
      <c r="O124">
        <v>0.81899999999999995</v>
      </c>
      <c r="P124">
        <v>76.656999999999996</v>
      </c>
      <c r="Q124">
        <v>12.67639256</v>
      </c>
      <c r="R124">
        <v>11.09000015</v>
      </c>
      <c r="S124">
        <v>32553.091079999998</v>
      </c>
      <c r="T124">
        <v>31.1</v>
      </c>
      <c r="U124">
        <v>9.1</v>
      </c>
      <c r="V124">
        <v>21.5</v>
      </c>
      <c r="W124">
        <v>39</v>
      </c>
      <c r="X124">
        <v>22.1</v>
      </c>
      <c r="Y124">
        <v>84.1</v>
      </c>
      <c r="Z124">
        <v>8.9</v>
      </c>
      <c r="AA124">
        <v>4.3</v>
      </c>
      <c r="AB124">
        <v>4.9000000000000004</v>
      </c>
      <c r="AC124">
        <v>23.1</v>
      </c>
      <c r="AD124">
        <v>20.3</v>
      </c>
      <c r="AE124">
        <v>65.900000000000006</v>
      </c>
      <c r="AF124">
        <v>1.5</v>
      </c>
      <c r="AG124">
        <v>136.69999999999999</v>
      </c>
      <c r="AH124">
        <v>85.9</v>
      </c>
      <c r="AI124">
        <v>51.4</v>
      </c>
      <c r="AJ124">
        <v>70.7</v>
      </c>
      <c r="AK124">
        <v>8.9</v>
      </c>
      <c r="AL124">
        <v>37</v>
      </c>
      <c r="AM124">
        <v>60.9</v>
      </c>
      <c r="AN124">
        <v>58.3</v>
      </c>
      <c r="AO124">
        <v>5.9550000000000001</v>
      </c>
    </row>
    <row r="125" spans="1:41" x14ac:dyDescent="0.3">
      <c r="A125" t="s">
        <v>398</v>
      </c>
      <c r="B125" t="s">
        <v>399</v>
      </c>
      <c r="C125" t="s">
        <v>400</v>
      </c>
      <c r="D125" t="s">
        <v>41</v>
      </c>
      <c r="E125" t="b">
        <v>1</v>
      </c>
      <c r="G125">
        <v>529676</v>
      </c>
      <c r="J125">
        <v>7480000000</v>
      </c>
      <c r="K125">
        <v>6590000000</v>
      </c>
      <c r="L125">
        <v>14122</v>
      </c>
      <c r="M125">
        <v>2019</v>
      </c>
      <c r="N125">
        <v>0.29285090000000003</v>
      </c>
      <c r="O125">
        <v>0.76600000000000001</v>
      </c>
      <c r="P125">
        <v>81.040999999999997</v>
      </c>
      <c r="Q125">
        <v>12.76840687</v>
      </c>
      <c r="R125">
        <v>7.4103728660000003</v>
      </c>
      <c r="S125">
        <v>19317.31882</v>
      </c>
      <c r="T125">
        <v>46</v>
      </c>
      <c r="U125">
        <v>23.1</v>
      </c>
      <c r="V125">
        <v>36.1</v>
      </c>
      <c r="W125">
        <v>49.3</v>
      </c>
      <c r="X125">
        <v>36.700000000000003</v>
      </c>
      <c r="Y125">
        <v>58.1</v>
      </c>
    </row>
    <row r="126" spans="1:41" x14ac:dyDescent="0.3">
      <c r="A126" t="s">
        <v>401</v>
      </c>
      <c r="B126" t="s">
        <v>402</v>
      </c>
      <c r="C126" t="s">
        <v>403</v>
      </c>
      <c r="D126" t="s">
        <v>49</v>
      </c>
      <c r="E126" t="b">
        <v>1</v>
      </c>
      <c r="G126">
        <v>25198800</v>
      </c>
      <c r="J126">
        <v>23210000000</v>
      </c>
      <c r="K126">
        <v>20660000000</v>
      </c>
      <c r="L126">
        <v>921</v>
      </c>
      <c r="M126">
        <v>2021</v>
      </c>
      <c r="N126">
        <v>0.35653594</v>
      </c>
      <c r="O126">
        <v>0.41899999999999998</v>
      </c>
      <c r="P126">
        <v>60.439</v>
      </c>
      <c r="Q126">
        <v>7.0113315329999999</v>
      </c>
      <c r="R126">
        <v>1.6299999949999999</v>
      </c>
      <c r="S126">
        <v>2341.5881180000001</v>
      </c>
      <c r="AO126">
        <v>4.3449999999999998</v>
      </c>
    </row>
    <row r="127" spans="1:41" x14ac:dyDescent="0.3">
      <c r="A127" t="s">
        <v>404</v>
      </c>
      <c r="B127" t="s">
        <v>405</v>
      </c>
      <c r="C127" t="s">
        <v>406</v>
      </c>
      <c r="D127" t="s">
        <v>45</v>
      </c>
      <c r="E127" t="b">
        <v>1</v>
      </c>
      <c r="G127">
        <v>545405</v>
      </c>
      <c r="J127">
        <v>25750000000</v>
      </c>
      <c r="K127">
        <v>22210000000</v>
      </c>
      <c r="L127">
        <v>47213</v>
      </c>
      <c r="M127">
        <v>2022</v>
      </c>
      <c r="N127">
        <v>0.34587276</v>
      </c>
      <c r="O127">
        <v>0.92400000000000004</v>
      </c>
      <c r="P127">
        <v>83.299000000000007</v>
      </c>
      <c r="Q127">
        <v>15.90985012</v>
      </c>
      <c r="R127">
        <v>12.4207021</v>
      </c>
      <c r="S127">
        <v>52155.074869999997</v>
      </c>
      <c r="T127">
        <v>53.1</v>
      </c>
      <c r="U127">
        <v>26.9</v>
      </c>
      <c r="V127">
        <v>41.7</v>
      </c>
      <c r="W127">
        <v>53</v>
      </c>
      <c r="X127">
        <v>58</v>
      </c>
      <c r="Y127">
        <v>83.6</v>
      </c>
      <c r="Z127">
        <v>10.8</v>
      </c>
      <c r="AA127">
        <v>5.8</v>
      </c>
      <c r="AB127">
        <v>5.8</v>
      </c>
      <c r="AC127">
        <v>17.3</v>
      </c>
      <c r="AD127">
        <v>17.100000000000001</v>
      </c>
      <c r="AE127">
        <v>83.3</v>
      </c>
      <c r="AF127">
        <v>1.2</v>
      </c>
      <c r="AG127">
        <v>136.1</v>
      </c>
      <c r="AH127">
        <v>86.4</v>
      </c>
      <c r="AI127">
        <v>57</v>
      </c>
      <c r="AJ127">
        <v>52.8</v>
      </c>
      <c r="AK127">
        <v>10.8</v>
      </c>
      <c r="AL127">
        <v>28.2</v>
      </c>
      <c r="AM127">
        <v>75.7</v>
      </c>
      <c r="AN127">
        <v>97.8</v>
      </c>
      <c r="AO127">
        <v>6.3159999999999998</v>
      </c>
    </row>
    <row r="128" spans="1:41" x14ac:dyDescent="0.3">
      <c r="A128" t="s">
        <v>407</v>
      </c>
      <c r="B128" t="s">
        <v>408</v>
      </c>
      <c r="C128" t="s">
        <v>409</v>
      </c>
      <c r="D128" t="s">
        <v>52</v>
      </c>
      <c r="E128" t="b">
        <v>1</v>
      </c>
      <c r="G128">
        <v>36282</v>
      </c>
      <c r="J128">
        <v>297000000</v>
      </c>
      <c r="K128">
        <v>269930000</v>
      </c>
      <c r="L128">
        <v>8186</v>
      </c>
      <c r="M128">
        <v>2019</v>
      </c>
      <c r="N128">
        <v>0.35482943</v>
      </c>
      <c r="O128">
        <v>0.73299999999999998</v>
      </c>
      <c r="P128">
        <v>66.944999999999993</v>
      </c>
      <c r="Q128">
        <v>16.386060709999999</v>
      </c>
      <c r="R128">
        <v>11.636664400000001</v>
      </c>
      <c r="S128">
        <v>7223.860831</v>
      </c>
    </row>
    <row r="129" spans="1:41" x14ac:dyDescent="0.3">
      <c r="A129" t="s">
        <v>410</v>
      </c>
      <c r="C129" t="s">
        <v>411</v>
      </c>
      <c r="D129" t="s">
        <v>60</v>
      </c>
      <c r="E129" t="b">
        <v>0</v>
      </c>
    </row>
    <row r="130" spans="1:41" x14ac:dyDescent="0.3">
      <c r="A130" t="s">
        <v>412</v>
      </c>
      <c r="B130" t="s">
        <v>413</v>
      </c>
      <c r="C130" t="s">
        <v>414</v>
      </c>
      <c r="D130" t="s">
        <v>49</v>
      </c>
      <c r="E130" t="b">
        <v>1</v>
      </c>
      <c r="G130">
        <v>5315060</v>
      </c>
      <c r="J130">
        <v>11470000000</v>
      </c>
      <c r="K130">
        <v>10650000000</v>
      </c>
      <c r="L130">
        <v>2158</v>
      </c>
      <c r="M130">
        <v>2019</v>
      </c>
      <c r="N130">
        <v>0.31996748000000003</v>
      </c>
      <c r="O130">
        <v>0.56299999999999994</v>
      </c>
      <c r="P130">
        <v>68.483999999999995</v>
      </c>
      <c r="Q130">
        <v>7.949540636</v>
      </c>
      <c r="R130">
        <v>4.8520258619999996</v>
      </c>
      <c r="S130">
        <v>6267.470808</v>
      </c>
      <c r="AO130">
        <v>4.5419999999999998</v>
      </c>
    </row>
    <row r="131" spans="1:41" x14ac:dyDescent="0.3">
      <c r="A131" t="s">
        <v>415</v>
      </c>
      <c r="B131" t="s">
        <v>416</v>
      </c>
      <c r="C131" t="s">
        <v>417</v>
      </c>
      <c r="D131" t="s">
        <v>49</v>
      </c>
      <c r="E131" t="b">
        <v>1</v>
      </c>
      <c r="G131">
        <v>1268280</v>
      </c>
      <c r="J131">
        <v>15490000000</v>
      </c>
      <c r="K131">
        <v>14400000000</v>
      </c>
      <c r="L131">
        <v>12217</v>
      </c>
      <c r="M131">
        <v>2017</v>
      </c>
      <c r="N131">
        <v>0.36761206000000002</v>
      </c>
      <c r="O131">
        <v>0.80600000000000005</v>
      </c>
      <c r="P131">
        <v>74.926000000000002</v>
      </c>
      <c r="Q131">
        <v>14.16282114</v>
      </c>
      <c r="R131">
        <v>10.10332754</v>
      </c>
      <c r="S131">
        <v>27279.96011</v>
      </c>
      <c r="T131">
        <v>37</v>
      </c>
      <c r="U131">
        <v>10.5</v>
      </c>
      <c r="V131">
        <v>25.5</v>
      </c>
      <c r="W131">
        <v>40.1</v>
      </c>
      <c r="X131">
        <v>30.5</v>
      </c>
      <c r="Y131">
        <v>55.9</v>
      </c>
      <c r="Z131">
        <v>19.2</v>
      </c>
      <c r="AA131">
        <v>3.2</v>
      </c>
      <c r="AB131">
        <v>3</v>
      </c>
      <c r="AC131">
        <v>31.7</v>
      </c>
      <c r="AD131">
        <v>33.700000000000003</v>
      </c>
      <c r="AE131">
        <v>165.2</v>
      </c>
      <c r="AF131">
        <v>0.6</v>
      </c>
      <c r="AO131">
        <v>5.8319999999999999</v>
      </c>
    </row>
    <row r="132" spans="1:41" x14ac:dyDescent="0.3">
      <c r="A132" t="s">
        <v>418</v>
      </c>
      <c r="C132" t="s">
        <v>419</v>
      </c>
      <c r="D132" t="s">
        <v>49</v>
      </c>
      <c r="E132" t="b">
        <v>0</v>
      </c>
    </row>
    <row r="133" spans="1:41" x14ac:dyDescent="0.3">
      <c r="A133" t="s">
        <v>420</v>
      </c>
      <c r="B133" t="s">
        <v>421</v>
      </c>
      <c r="C133" t="s">
        <v>422</v>
      </c>
      <c r="D133" t="s">
        <v>60</v>
      </c>
      <c r="E133" t="b">
        <v>1</v>
      </c>
      <c r="F133" t="s">
        <v>67</v>
      </c>
      <c r="G133">
        <v>131947000</v>
      </c>
      <c r="H133">
        <v>-12.2</v>
      </c>
      <c r="I133">
        <v>17.7</v>
      </c>
      <c r="J133">
        <v>1690000000000</v>
      </c>
      <c r="K133">
        <v>1790000000000</v>
      </c>
      <c r="L133">
        <v>12828</v>
      </c>
      <c r="M133">
        <v>2022</v>
      </c>
      <c r="N133">
        <v>0.43454006000000001</v>
      </c>
      <c r="O133">
        <v>0.78900000000000003</v>
      </c>
      <c r="P133">
        <v>75.069000000000003</v>
      </c>
      <c r="Q133">
        <v>14.468110080000001</v>
      </c>
      <c r="R133">
        <v>9.3495109339999996</v>
      </c>
      <c r="S133">
        <v>21812.65566</v>
      </c>
      <c r="T133">
        <v>37.6</v>
      </c>
      <c r="U133">
        <v>15.5</v>
      </c>
      <c r="V133">
        <v>28</v>
      </c>
      <c r="W133">
        <v>41.8</v>
      </c>
      <c r="X133">
        <v>37.4</v>
      </c>
      <c r="Y133">
        <v>51.1</v>
      </c>
      <c r="Z133">
        <v>11.6</v>
      </c>
      <c r="AA133">
        <v>7.3</v>
      </c>
      <c r="AB133">
        <v>7.4</v>
      </c>
      <c r="AC133">
        <v>13.7</v>
      </c>
      <c r="AD133">
        <v>13.5</v>
      </c>
      <c r="AE133">
        <v>148.4</v>
      </c>
      <c r="AF133">
        <v>0.7</v>
      </c>
      <c r="AG133">
        <v>127.4</v>
      </c>
      <c r="AH133">
        <v>52.6</v>
      </c>
      <c r="AI133">
        <v>46.8</v>
      </c>
      <c r="AJ133">
        <v>72.7</v>
      </c>
      <c r="AK133">
        <v>11.6</v>
      </c>
      <c r="AL133">
        <v>39.200000000000003</v>
      </c>
      <c r="AM133">
        <v>58.3</v>
      </c>
      <c r="AN133">
        <v>83.3</v>
      </c>
      <c r="AO133">
        <v>6.9790000000000001</v>
      </c>
    </row>
    <row r="134" spans="1:41" x14ac:dyDescent="0.3">
      <c r="A134" t="s">
        <v>423</v>
      </c>
      <c r="B134" t="s">
        <v>424</v>
      </c>
      <c r="C134" t="s">
        <v>425</v>
      </c>
      <c r="D134" t="s">
        <v>52</v>
      </c>
      <c r="E134" t="b">
        <v>1</v>
      </c>
      <c r="G134">
        <v>113683</v>
      </c>
      <c r="J134">
        <v>500000000</v>
      </c>
      <c r="K134">
        <v>460000000</v>
      </c>
      <c r="L134">
        <v>4398</v>
      </c>
      <c r="M134">
        <v>2013</v>
      </c>
      <c r="N134">
        <v>0.40052038000000001</v>
      </c>
      <c r="O134">
        <v>0.61499999999999999</v>
      </c>
      <c r="P134">
        <v>67.197999999999993</v>
      </c>
      <c r="Q134">
        <v>11.540085120000001</v>
      </c>
      <c r="R134">
        <v>7.3325239800000004</v>
      </c>
      <c r="S134">
        <v>4245.8782430000001</v>
      </c>
    </row>
    <row r="135" spans="1:41" x14ac:dyDescent="0.3">
      <c r="A135" t="s">
        <v>426</v>
      </c>
      <c r="B135" t="s">
        <v>427</v>
      </c>
      <c r="C135" t="s">
        <v>428</v>
      </c>
      <c r="D135" t="s">
        <v>45</v>
      </c>
      <c r="E135" t="b">
        <v>1</v>
      </c>
      <c r="F135" t="s">
        <v>429</v>
      </c>
      <c r="G135">
        <v>2996110</v>
      </c>
      <c r="H135">
        <v>-30.8</v>
      </c>
      <c r="I135">
        <v>-5.3</v>
      </c>
      <c r="J135">
        <v>19460000000</v>
      </c>
      <c r="K135">
        <v>16540000000</v>
      </c>
      <c r="L135">
        <v>6496</v>
      </c>
      <c r="M135">
        <v>2022</v>
      </c>
      <c r="N135">
        <v>0.25864446000000002</v>
      </c>
      <c r="O135">
        <v>0.78500000000000003</v>
      </c>
      <c r="P135">
        <v>71.197999999999993</v>
      </c>
      <c r="Q135">
        <v>14.638568469999999</v>
      </c>
      <c r="R135">
        <v>11.829999920000001</v>
      </c>
      <c r="S135">
        <v>15866.54207</v>
      </c>
      <c r="T135">
        <v>33.5</v>
      </c>
      <c r="U135">
        <v>14.8</v>
      </c>
      <c r="V135">
        <v>25.3</v>
      </c>
      <c r="W135">
        <v>31.3</v>
      </c>
      <c r="X135">
        <v>29.3</v>
      </c>
      <c r="Y135">
        <v>51.7</v>
      </c>
      <c r="Z135">
        <v>15</v>
      </c>
      <c r="AA135">
        <v>6.1</v>
      </c>
      <c r="AB135">
        <v>5.8</v>
      </c>
      <c r="AC135">
        <v>16.3</v>
      </c>
      <c r="AD135">
        <v>17.399999999999999</v>
      </c>
      <c r="AE135">
        <v>164.8</v>
      </c>
      <c r="AF135">
        <v>0.6</v>
      </c>
      <c r="AO135">
        <v>5.819</v>
      </c>
    </row>
    <row r="136" spans="1:41" x14ac:dyDescent="0.3">
      <c r="A136" t="s">
        <v>430</v>
      </c>
      <c r="C136" t="s">
        <v>431</v>
      </c>
      <c r="D136" t="s">
        <v>45</v>
      </c>
      <c r="E136" t="b">
        <v>1</v>
      </c>
      <c r="G136">
        <v>38341</v>
      </c>
      <c r="K136">
        <v>10000000000</v>
      </c>
      <c r="L136">
        <v>260696</v>
      </c>
    </row>
    <row r="137" spans="1:41" x14ac:dyDescent="0.3">
      <c r="A137" t="s">
        <v>432</v>
      </c>
      <c r="B137" t="s">
        <v>433</v>
      </c>
      <c r="C137" t="s">
        <v>434</v>
      </c>
      <c r="D137" t="s">
        <v>41</v>
      </c>
      <c r="E137" t="b">
        <v>1</v>
      </c>
      <c r="G137">
        <v>3517100</v>
      </c>
      <c r="J137">
        <v>25800000000</v>
      </c>
      <c r="K137">
        <v>19870000000</v>
      </c>
      <c r="L137">
        <v>7337</v>
      </c>
      <c r="M137">
        <v>2022</v>
      </c>
      <c r="N137">
        <v>0.31416475999999999</v>
      </c>
      <c r="O137">
        <v>0.747</v>
      </c>
      <c r="P137">
        <v>71.733999999999995</v>
      </c>
      <c r="Q137">
        <v>13.637654299999999</v>
      </c>
      <c r="R137">
        <v>9.4200000760000009</v>
      </c>
      <c r="S137">
        <v>14787.08237</v>
      </c>
      <c r="T137">
        <v>30.1</v>
      </c>
      <c r="U137">
        <v>14.3</v>
      </c>
      <c r="V137">
        <v>23.2</v>
      </c>
      <c r="W137">
        <v>37.299999999999997</v>
      </c>
      <c r="X137">
        <v>23.2</v>
      </c>
      <c r="Y137">
        <v>38.799999999999997</v>
      </c>
      <c r="Z137">
        <v>13.7</v>
      </c>
      <c r="AA137">
        <v>8.5</v>
      </c>
      <c r="AB137">
        <v>9</v>
      </c>
      <c r="AC137">
        <v>11.7</v>
      </c>
      <c r="AD137">
        <v>11.1</v>
      </c>
      <c r="AE137">
        <v>117.9</v>
      </c>
      <c r="AF137">
        <v>0.8</v>
      </c>
      <c r="AO137">
        <v>5.8330000000000002</v>
      </c>
    </row>
    <row r="138" spans="1:41" x14ac:dyDescent="0.3">
      <c r="A138" t="s">
        <v>435</v>
      </c>
      <c r="B138" t="s">
        <v>436</v>
      </c>
      <c r="C138" t="s">
        <v>437</v>
      </c>
      <c r="D138" t="s">
        <v>45</v>
      </c>
      <c r="E138" t="b">
        <v>1</v>
      </c>
      <c r="G138">
        <v>632729</v>
      </c>
      <c r="J138">
        <v>8560000000</v>
      </c>
      <c r="K138">
        <v>7530000000</v>
      </c>
      <c r="L138">
        <v>13532</v>
      </c>
      <c r="M138">
        <v>2021</v>
      </c>
      <c r="N138">
        <v>0.34296975000000002</v>
      </c>
      <c r="O138">
        <v>0.86199999999999999</v>
      </c>
      <c r="P138">
        <v>77.087000000000003</v>
      </c>
      <c r="Q138">
        <v>15.53652954</v>
      </c>
      <c r="R138">
        <v>12.773925719999999</v>
      </c>
      <c r="S138">
        <v>28026.330399999999</v>
      </c>
      <c r="T138">
        <v>40</v>
      </c>
      <c r="U138">
        <v>16.399999999999999</v>
      </c>
      <c r="V138">
        <v>29.7</v>
      </c>
      <c r="W138">
        <v>38</v>
      </c>
      <c r="X138">
        <v>39.700000000000003</v>
      </c>
      <c r="Y138">
        <v>66.5</v>
      </c>
      <c r="Z138">
        <v>12.6</v>
      </c>
      <c r="AA138">
        <v>5.3</v>
      </c>
      <c r="AB138">
        <v>5.2</v>
      </c>
      <c r="AC138">
        <v>18.8</v>
      </c>
      <c r="AD138">
        <v>19.2</v>
      </c>
      <c r="AE138">
        <v>105.2</v>
      </c>
      <c r="AF138">
        <v>1</v>
      </c>
      <c r="AO138">
        <v>5.8769999999999998</v>
      </c>
    </row>
    <row r="139" spans="1:41" x14ac:dyDescent="0.3">
      <c r="A139" t="s">
        <v>438</v>
      </c>
      <c r="C139" t="s">
        <v>439</v>
      </c>
      <c r="D139" t="s">
        <v>60</v>
      </c>
      <c r="E139" t="b">
        <v>0</v>
      </c>
      <c r="G139">
        <v>4359</v>
      </c>
      <c r="K139">
        <v>80430000</v>
      </c>
      <c r="L139">
        <v>18451</v>
      </c>
    </row>
    <row r="140" spans="1:41" x14ac:dyDescent="0.3">
      <c r="A140" t="s">
        <v>440</v>
      </c>
      <c r="B140" t="s">
        <v>441</v>
      </c>
      <c r="C140" t="s">
        <v>442</v>
      </c>
      <c r="D140" t="s">
        <v>49</v>
      </c>
      <c r="E140" t="b">
        <v>1</v>
      </c>
      <c r="G140">
        <v>38430800</v>
      </c>
      <c r="J140">
        <v>165840000000</v>
      </c>
      <c r="K140">
        <v>144440000000</v>
      </c>
      <c r="L140">
        <v>4315</v>
      </c>
      <c r="M140">
        <v>2013</v>
      </c>
      <c r="N140">
        <v>0.39548506999999999</v>
      </c>
      <c r="O140">
        <v>0.71</v>
      </c>
      <c r="P140">
        <v>75.313000000000002</v>
      </c>
      <c r="Q140">
        <v>15.074990270000001</v>
      </c>
      <c r="R140">
        <v>6.1980000000000004</v>
      </c>
      <c r="S140">
        <v>8652.8808590000008</v>
      </c>
      <c r="T140">
        <v>30</v>
      </c>
      <c r="U140">
        <v>8.1999999999999993</v>
      </c>
      <c r="V140">
        <v>20.5</v>
      </c>
      <c r="W140">
        <v>31.6</v>
      </c>
      <c r="X140">
        <v>23.2</v>
      </c>
      <c r="Y140">
        <v>44.6</v>
      </c>
      <c r="Z140">
        <v>13.5</v>
      </c>
      <c r="AA140">
        <v>5.5</v>
      </c>
      <c r="AB140">
        <v>5</v>
      </c>
      <c r="AC140">
        <v>18.2</v>
      </c>
      <c r="AD140">
        <v>19.899999999999999</v>
      </c>
      <c r="AE140">
        <v>107.1</v>
      </c>
      <c r="AF140">
        <v>0.9</v>
      </c>
      <c r="AG140">
        <v>114.1</v>
      </c>
      <c r="AH140">
        <v>45.5</v>
      </c>
      <c r="AI140">
        <v>52.5</v>
      </c>
      <c r="AJ140">
        <v>47</v>
      </c>
      <c r="AK140">
        <v>13.5</v>
      </c>
      <c r="AL140">
        <v>35.200000000000003</v>
      </c>
      <c r="AM140">
        <v>68.400000000000006</v>
      </c>
      <c r="AN140">
        <v>91.7</v>
      </c>
      <c r="AO140">
        <v>4.6219999999999999</v>
      </c>
    </row>
    <row r="141" spans="1:41" x14ac:dyDescent="0.3">
      <c r="A141" t="s">
        <v>443</v>
      </c>
      <c r="B141" t="s">
        <v>444</v>
      </c>
      <c r="C141" t="s">
        <v>445</v>
      </c>
      <c r="D141" t="s">
        <v>49</v>
      </c>
      <c r="E141" t="b">
        <v>1</v>
      </c>
      <c r="G141">
        <v>35631700</v>
      </c>
      <c r="J141">
        <v>23770000000</v>
      </c>
      <c r="K141">
        <v>20950000000</v>
      </c>
      <c r="L141">
        <v>667</v>
      </c>
      <c r="M141">
        <v>2019</v>
      </c>
      <c r="N141">
        <v>0.50263760000000002</v>
      </c>
      <c r="O141">
        <v>0.49299999999999999</v>
      </c>
      <c r="P141">
        <v>63.610999999999997</v>
      </c>
      <c r="Q141">
        <v>10.84830885</v>
      </c>
      <c r="R141">
        <v>4.5904898640000003</v>
      </c>
      <c r="S141">
        <v>1355.7670760000001</v>
      </c>
      <c r="T141">
        <v>35.700000000000003</v>
      </c>
      <c r="U141">
        <v>13</v>
      </c>
      <c r="V141">
        <v>25.8</v>
      </c>
      <c r="W141">
        <v>32</v>
      </c>
      <c r="X141">
        <v>31.1</v>
      </c>
      <c r="Y141">
        <v>34.6</v>
      </c>
      <c r="AO141">
        <v>5.19</v>
      </c>
    </row>
    <row r="142" spans="1:41" x14ac:dyDescent="0.3">
      <c r="A142" t="s">
        <v>446</v>
      </c>
      <c r="B142" t="s">
        <v>447</v>
      </c>
      <c r="C142" t="s">
        <v>448</v>
      </c>
      <c r="D142" t="s">
        <v>41</v>
      </c>
      <c r="E142" t="b">
        <v>1</v>
      </c>
      <c r="G142">
        <v>54850600</v>
      </c>
      <c r="J142">
        <v>64940000000</v>
      </c>
      <c r="K142">
        <v>62080000000</v>
      </c>
      <c r="L142">
        <v>1184</v>
      </c>
      <c r="M142">
        <v>2017</v>
      </c>
      <c r="N142">
        <v>0.30696869999999998</v>
      </c>
      <c r="O142">
        <v>0.60899999999999999</v>
      </c>
      <c r="P142">
        <v>66.888999999999996</v>
      </c>
      <c r="Q142">
        <v>11.504560469999999</v>
      </c>
      <c r="R142">
        <v>6.3800001140000004</v>
      </c>
      <c r="S142">
        <v>4918.8105770000002</v>
      </c>
      <c r="AO142">
        <v>4.3209999999999997</v>
      </c>
    </row>
    <row r="143" spans="1:41" x14ac:dyDescent="0.3">
      <c r="A143" t="s">
        <v>449</v>
      </c>
      <c r="B143" t="s">
        <v>450</v>
      </c>
      <c r="C143" t="s">
        <v>451</v>
      </c>
      <c r="D143" t="s">
        <v>49</v>
      </c>
      <c r="E143" t="b">
        <v>1</v>
      </c>
      <c r="G143">
        <v>3092820</v>
      </c>
      <c r="J143">
        <v>14210000000</v>
      </c>
      <c r="K143">
        <v>12350000000</v>
      </c>
      <c r="L143">
        <v>4596</v>
      </c>
      <c r="M143">
        <v>2015</v>
      </c>
      <c r="N143">
        <v>0.59066609999999997</v>
      </c>
      <c r="O143">
        <v>0.66500000000000004</v>
      </c>
      <c r="P143">
        <v>67.385000000000005</v>
      </c>
      <c r="Q143">
        <v>11.78505588</v>
      </c>
      <c r="R143">
        <v>7.273146745</v>
      </c>
      <c r="S143">
        <v>10916.60872</v>
      </c>
      <c r="T143">
        <v>31.3</v>
      </c>
      <c r="U143">
        <v>13.5</v>
      </c>
      <c r="V143">
        <v>23.5</v>
      </c>
      <c r="W143">
        <v>32.200000000000003</v>
      </c>
      <c r="X143">
        <v>27.9</v>
      </c>
      <c r="Y143">
        <v>75.099999999999994</v>
      </c>
      <c r="AO143">
        <v>4.9109999999999996</v>
      </c>
    </row>
    <row r="144" spans="1:41" x14ac:dyDescent="0.3">
      <c r="A144" t="s">
        <v>452</v>
      </c>
      <c r="B144" t="s">
        <v>453</v>
      </c>
      <c r="C144" t="s">
        <v>454</v>
      </c>
      <c r="D144" t="s">
        <v>52</v>
      </c>
      <c r="E144" t="b">
        <v>1</v>
      </c>
      <c r="G144">
        <v>12025</v>
      </c>
      <c r="J144">
        <v>169000000</v>
      </c>
      <c r="K144">
        <v>175890000</v>
      </c>
      <c r="L144">
        <v>14054</v>
      </c>
      <c r="M144">
        <v>2012</v>
      </c>
      <c r="N144">
        <v>0.32361580000000001</v>
      </c>
      <c r="O144">
        <v>0.70299999999999996</v>
      </c>
      <c r="P144">
        <v>62.109000000000002</v>
      </c>
      <c r="Q144">
        <v>12.84263763</v>
      </c>
      <c r="R144">
        <v>9.4486376760000006</v>
      </c>
      <c r="S144">
        <v>19642.377700000001</v>
      </c>
    </row>
    <row r="145" spans="1:41" x14ac:dyDescent="0.3">
      <c r="A145" t="s">
        <v>455</v>
      </c>
      <c r="B145" t="s">
        <v>456</v>
      </c>
      <c r="C145" t="s">
        <v>457</v>
      </c>
      <c r="D145" t="s">
        <v>41</v>
      </c>
      <c r="E145" t="b">
        <v>1</v>
      </c>
      <c r="G145">
        <v>29618100</v>
      </c>
      <c r="J145">
        <v>46080000000</v>
      </c>
      <c r="K145">
        <v>40480000000</v>
      </c>
      <c r="L145">
        <v>1556</v>
      </c>
      <c r="M145">
        <v>2022</v>
      </c>
      <c r="N145">
        <v>0.30020264000000002</v>
      </c>
      <c r="O145">
        <v>0.622</v>
      </c>
      <c r="P145">
        <v>70.353999999999999</v>
      </c>
      <c r="Q145">
        <v>13.754303930000001</v>
      </c>
      <c r="R145">
        <v>4.5037298200000002</v>
      </c>
      <c r="S145">
        <v>4725.9306130000004</v>
      </c>
      <c r="T145">
        <v>22.7</v>
      </c>
      <c r="U145">
        <v>3.2</v>
      </c>
      <c r="V145">
        <v>14.2</v>
      </c>
      <c r="W145">
        <v>23.5</v>
      </c>
      <c r="X145">
        <v>17.399999999999999</v>
      </c>
      <c r="Y145">
        <v>30.6</v>
      </c>
      <c r="Z145">
        <v>36.9</v>
      </c>
      <c r="AA145">
        <v>1.6</v>
      </c>
      <c r="AB145">
        <v>1.6</v>
      </c>
      <c r="AC145">
        <v>64</v>
      </c>
      <c r="AD145">
        <v>61.9</v>
      </c>
      <c r="AE145">
        <v>490.9</v>
      </c>
      <c r="AF145">
        <v>0.2</v>
      </c>
      <c r="AO145">
        <v>5.3109999999999999</v>
      </c>
    </row>
    <row r="146" spans="1:41" x14ac:dyDescent="0.3">
      <c r="A146" t="s">
        <v>458</v>
      </c>
      <c r="B146" t="s">
        <v>459</v>
      </c>
      <c r="C146" t="s">
        <v>460</v>
      </c>
      <c r="D146" t="s">
        <v>45</v>
      </c>
      <c r="E146" t="b">
        <v>1</v>
      </c>
      <c r="G146">
        <v>18346800</v>
      </c>
      <c r="J146">
        <v>1270000000000</v>
      </c>
      <c r="K146">
        <v>1150000000000</v>
      </c>
      <c r="L146">
        <v>69331</v>
      </c>
      <c r="M146">
        <v>2021</v>
      </c>
      <c r="N146">
        <v>0.25743870000000002</v>
      </c>
      <c r="O146">
        <v>0.95499999999999996</v>
      </c>
      <c r="P146">
        <v>82.158000000000001</v>
      </c>
      <c r="Q146">
        <v>18.58485031</v>
      </c>
      <c r="R146">
        <v>12.66994689</v>
      </c>
      <c r="S146">
        <v>68344.308260000005</v>
      </c>
      <c r="T146">
        <v>68.099999999999994</v>
      </c>
      <c r="U146">
        <v>37.4</v>
      </c>
      <c r="V146">
        <v>54.7</v>
      </c>
      <c r="W146">
        <v>63</v>
      </c>
      <c r="X146">
        <v>74</v>
      </c>
      <c r="Y146">
        <v>139.5</v>
      </c>
      <c r="Z146">
        <v>7.4</v>
      </c>
      <c r="AA146">
        <v>5.2</v>
      </c>
      <c r="AB146">
        <v>5.5</v>
      </c>
      <c r="AC146">
        <v>19.399999999999999</v>
      </c>
      <c r="AD146">
        <v>18</v>
      </c>
      <c r="AE146">
        <v>55.3</v>
      </c>
      <c r="AF146">
        <v>1.8</v>
      </c>
      <c r="AG146">
        <v>216.5</v>
      </c>
      <c r="AH146">
        <v>144.5</v>
      </c>
      <c r="AI146">
        <v>74.2</v>
      </c>
      <c r="AJ146">
        <v>80.599999999999994</v>
      </c>
      <c r="AK146">
        <v>7.4</v>
      </c>
      <c r="AL146">
        <v>22.7</v>
      </c>
      <c r="AM146">
        <v>20.9</v>
      </c>
      <c r="AN146">
        <v>86.8</v>
      </c>
      <c r="AO146">
        <v>7.306</v>
      </c>
    </row>
    <row r="147" spans="1:41" x14ac:dyDescent="0.3">
      <c r="A147" t="s">
        <v>461</v>
      </c>
      <c r="C147" t="s">
        <v>462</v>
      </c>
      <c r="D147" t="s">
        <v>52</v>
      </c>
      <c r="E147" t="b">
        <v>0</v>
      </c>
      <c r="G147">
        <v>295333</v>
      </c>
      <c r="K147">
        <v>10140000000</v>
      </c>
      <c r="L147">
        <v>34334</v>
      </c>
    </row>
    <row r="148" spans="1:41" x14ac:dyDescent="0.3">
      <c r="A148" t="s">
        <v>463</v>
      </c>
      <c r="C148" t="s">
        <v>464</v>
      </c>
      <c r="D148" t="s">
        <v>52</v>
      </c>
      <c r="E148" t="b">
        <v>1</v>
      </c>
      <c r="F148" t="s">
        <v>465</v>
      </c>
      <c r="G148">
        <v>5251900</v>
      </c>
      <c r="H148">
        <v>-14.8</v>
      </c>
      <c r="I148">
        <v>-4.4000000000000004</v>
      </c>
      <c r="J148">
        <v>248670000000</v>
      </c>
      <c r="K148">
        <v>252180000000</v>
      </c>
      <c r="L148">
        <v>47348</v>
      </c>
      <c r="O148">
        <v>0.93799999999999994</v>
      </c>
      <c r="P148">
        <v>82.087999999999994</v>
      </c>
      <c r="Q148">
        <v>19.30005074</v>
      </c>
      <c r="R148">
        <v>12.882998069999999</v>
      </c>
      <c r="S148">
        <v>47259.601369999997</v>
      </c>
      <c r="T148">
        <v>59.3</v>
      </c>
      <c r="U148">
        <v>26.1</v>
      </c>
      <c r="V148">
        <v>44.9</v>
      </c>
      <c r="W148">
        <v>65.599999999999994</v>
      </c>
      <c r="X148">
        <v>56.7</v>
      </c>
      <c r="Y148">
        <v>136.30000000000001</v>
      </c>
      <c r="Z148">
        <v>7.6</v>
      </c>
      <c r="AA148">
        <v>4.5999999999999996</v>
      </c>
      <c r="AB148">
        <v>4.5999999999999996</v>
      </c>
      <c r="AC148">
        <v>21.9</v>
      </c>
      <c r="AD148">
        <v>21.7</v>
      </c>
      <c r="AE148">
        <v>68.8</v>
      </c>
      <c r="AF148">
        <v>1.5</v>
      </c>
      <c r="AG148">
        <v>194.7</v>
      </c>
      <c r="AH148">
        <v>140.5</v>
      </c>
      <c r="AI148">
        <v>51.5</v>
      </c>
      <c r="AJ148">
        <v>68.099999999999994</v>
      </c>
      <c r="AK148">
        <v>7.6</v>
      </c>
      <c r="AL148">
        <v>32.299999999999997</v>
      </c>
      <c r="AM148">
        <v>26</v>
      </c>
      <c r="AN148">
        <v>97.3</v>
      </c>
      <c r="AO148">
        <v>6.952</v>
      </c>
    </row>
    <row r="149" spans="1:41" x14ac:dyDescent="0.3">
      <c r="A149" t="s">
        <v>466</v>
      </c>
      <c r="B149" t="s">
        <v>467</v>
      </c>
      <c r="C149" t="s">
        <v>468</v>
      </c>
      <c r="D149" t="s">
        <v>60</v>
      </c>
      <c r="E149" t="b">
        <v>1</v>
      </c>
      <c r="F149" t="s">
        <v>469</v>
      </c>
      <c r="G149">
        <v>7007500</v>
      </c>
      <c r="H149">
        <v>-23.2</v>
      </c>
      <c r="I149">
        <v>9.1999999999999993</v>
      </c>
      <c r="J149">
        <v>21160000000</v>
      </c>
      <c r="K149">
        <v>17830000000</v>
      </c>
      <c r="L149">
        <v>3019</v>
      </c>
      <c r="M149">
        <v>2014</v>
      </c>
      <c r="N149">
        <v>0.46156292999999998</v>
      </c>
      <c r="O149">
        <v>0.70599999999999996</v>
      </c>
      <c r="P149">
        <v>74.947000000000003</v>
      </c>
      <c r="Q149">
        <v>11.51021957</v>
      </c>
      <c r="R149">
        <v>9.9330196379999993</v>
      </c>
      <c r="S149">
        <v>6881.479609</v>
      </c>
      <c r="T149">
        <v>32.5</v>
      </c>
      <c r="U149">
        <v>8.4</v>
      </c>
      <c r="V149">
        <v>22</v>
      </c>
      <c r="W149">
        <v>39.9</v>
      </c>
      <c r="X149">
        <v>23</v>
      </c>
      <c r="Y149">
        <v>26.3</v>
      </c>
      <c r="AO149">
        <v>6.33</v>
      </c>
    </row>
    <row r="150" spans="1:41" x14ac:dyDescent="0.3">
      <c r="A150" t="s">
        <v>470</v>
      </c>
      <c r="B150" t="s">
        <v>471</v>
      </c>
      <c r="C150" t="s">
        <v>472</v>
      </c>
      <c r="D150" t="s">
        <v>49</v>
      </c>
      <c r="E150" t="b">
        <v>1</v>
      </c>
      <c r="G150">
        <v>27917800</v>
      </c>
      <c r="J150">
        <v>21870000000</v>
      </c>
      <c r="K150">
        <v>16820000000</v>
      </c>
      <c r="L150">
        <v>784</v>
      </c>
      <c r="M150">
        <v>2021</v>
      </c>
      <c r="N150">
        <v>0.32862564999999999</v>
      </c>
      <c r="O150">
        <v>0.41899999999999998</v>
      </c>
      <c r="P150">
        <v>61.183</v>
      </c>
      <c r="Q150">
        <v>8.308919801</v>
      </c>
      <c r="R150">
        <v>1.4122893409999999</v>
      </c>
      <c r="S150">
        <v>1590.18796</v>
      </c>
      <c r="AO150">
        <v>4.7249999999999996</v>
      </c>
    </row>
    <row r="151" spans="1:41" x14ac:dyDescent="0.3">
      <c r="A151" t="s">
        <v>473</v>
      </c>
      <c r="B151" t="s">
        <v>474</v>
      </c>
      <c r="C151" t="s">
        <v>475</v>
      </c>
      <c r="D151" t="s">
        <v>49</v>
      </c>
      <c r="E151" t="b">
        <v>1</v>
      </c>
      <c r="G151">
        <v>237528000</v>
      </c>
      <c r="J151">
        <v>188270000000</v>
      </c>
      <c r="K151">
        <v>374980000000</v>
      </c>
      <c r="L151">
        <v>793</v>
      </c>
      <c r="M151">
        <v>2018</v>
      </c>
      <c r="N151">
        <v>0.35127744</v>
      </c>
      <c r="O151">
        <v>0.56000000000000005</v>
      </c>
      <c r="P151">
        <v>54.462000000000003</v>
      </c>
      <c r="Q151">
        <v>10.51407</v>
      </c>
      <c r="R151">
        <v>7.5859699249999997</v>
      </c>
      <c r="S151">
        <v>5569.3749749999997</v>
      </c>
      <c r="T151">
        <v>25.7</v>
      </c>
      <c r="U151">
        <v>24</v>
      </c>
      <c r="V151">
        <v>24.9</v>
      </c>
      <c r="W151">
        <v>30.6</v>
      </c>
      <c r="X151">
        <v>19.5</v>
      </c>
      <c r="Y151">
        <v>10.1</v>
      </c>
      <c r="AG151">
        <v>15.6</v>
      </c>
      <c r="AH151">
        <v>10.6</v>
      </c>
      <c r="AI151">
        <v>33.9</v>
      </c>
      <c r="AJ151">
        <v>49.1</v>
      </c>
      <c r="AK151">
        <v>53.4</v>
      </c>
      <c r="AL151">
        <v>65.3</v>
      </c>
      <c r="AM151">
        <v>87.9</v>
      </c>
      <c r="AN151">
        <v>66.3</v>
      </c>
      <c r="AO151">
        <v>4.8849999999999998</v>
      </c>
    </row>
    <row r="152" spans="1:41" x14ac:dyDescent="0.3">
      <c r="A152" t="s">
        <v>476</v>
      </c>
      <c r="C152" t="s">
        <v>477</v>
      </c>
      <c r="D152" t="s">
        <v>52</v>
      </c>
      <c r="E152" t="b">
        <v>0</v>
      </c>
    </row>
    <row r="153" spans="1:41" x14ac:dyDescent="0.3">
      <c r="A153" t="s">
        <v>478</v>
      </c>
      <c r="C153" t="s">
        <v>479</v>
      </c>
      <c r="D153" t="s">
        <v>41</v>
      </c>
      <c r="E153" t="b">
        <v>1</v>
      </c>
      <c r="G153">
        <v>26571000</v>
      </c>
      <c r="K153">
        <v>16450000000</v>
      </c>
      <c r="L153">
        <v>619</v>
      </c>
    </row>
    <row r="154" spans="1:41" x14ac:dyDescent="0.3">
      <c r="A154" t="s">
        <v>480</v>
      </c>
      <c r="B154" t="s">
        <v>481</v>
      </c>
      <c r="C154" t="s">
        <v>482</v>
      </c>
      <c r="D154" t="s">
        <v>45</v>
      </c>
      <c r="E154" t="b">
        <v>1</v>
      </c>
      <c r="G154">
        <v>1813790</v>
      </c>
      <c r="J154">
        <v>17890000000</v>
      </c>
      <c r="K154">
        <v>15760000000</v>
      </c>
      <c r="L154">
        <v>9861</v>
      </c>
      <c r="M154">
        <v>2019</v>
      </c>
      <c r="N154">
        <v>0.33505829999999998</v>
      </c>
      <c r="O154">
        <v>0.81499999999999995</v>
      </c>
      <c r="P154">
        <v>77.394999999999996</v>
      </c>
      <c r="Q154">
        <v>14.781439779999999</v>
      </c>
      <c r="R154">
        <v>10.22999954</v>
      </c>
      <c r="S154">
        <v>22128.394609999999</v>
      </c>
      <c r="T154">
        <v>33.6</v>
      </c>
      <c r="U154">
        <v>7.7</v>
      </c>
      <c r="V154">
        <v>22.4</v>
      </c>
      <c r="W154">
        <v>33.200000000000003</v>
      </c>
      <c r="X154">
        <v>26.5</v>
      </c>
      <c r="Y154">
        <v>65.3</v>
      </c>
      <c r="Z154">
        <v>12.5</v>
      </c>
      <c r="AA154">
        <v>3.4</v>
      </c>
      <c r="AB154">
        <v>3.6</v>
      </c>
      <c r="AC154">
        <v>29.2</v>
      </c>
      <c r="AD154">
        <v>28</v>
      </c>
      <c r="AE154">
        <v>97.3</v>
      </c>
      <c r="AF154">
        <v>1</v>
      </c>
      <c r="AG154">
        <v>123.5</v>
      </c>
      <c r="AH154">
        <v>66.5</v>
      </c>
      <c r="AI154">
        <v>58.6</v>
      </c>
      <c r="AJ154">
        <v>55.3</v>
      </c>
      <c r="AK154">
        <v>12.5</v>
      </c>
      <c r="AL154">
        <v>24.5</v>
      </c>
      <c r="AM154">
        <v>79.2</v>
      </c>
      <c r="AN154">
        <v>79.2</v>
      </c>
      <c r="AO154">
        <v>5.5030000000000001</v>
      </c>
    </row>
    <row r="155" spans="1:41" x14ac:dyDescent="0.3">
      <c r="A155" t="s">
        <v>483</v>
      </c>
      <c r="C155" t="s">
        <v>484</v>
      </c>
      <c r="D155" t="s">
        <v>52</v>
      </c>
      <c r="E155" t="b">
        <v>0</v>
      </c>
    </row>
    <row r="156" spans="1:41" x14ac:dyDescent="0.3">
      <c r="A156" t="s">
        <v>485</v>
      </c>
      <c r="B156" t="s">
        <v>486</v>
      </c>
      <c r="C156" t="s">
        <v>487</v>
      </c>
      <c r="D156" t="s">
        <v>45</v>
      </c>
      <c r="E156" t="b">
        <v>1</v>
      </c>
      <c r="F156" t="s">
        <v>196</v>
      </c>
      <c r="G156">
        <v>5623070</v>
      </c>
      <c r="H156">
        <v>22.1</v>
      </c>
      <c r="I156">
        <v>27.3</v>
      </c>
      <c r="J156">
        <v>504280000000</v>
      </c>
      <c r="K156">
        <v>485310000000</v>
      </c>
      <c r="L156">
        <v>89680</v>
      </c>
      <c r="M156">
        <v>2022</v>
      </c>
      <c r="N156">
        <v>0.26946252999999998</v>
      </c>
      <c r="O156">
        <v>0.97</v>
      </c>
      <c r="P156">
        <v>83.308000000000007</v>
      </c>
      <c r="Q156">
        <v>18.792850489999999</v>
      </c>
      <c r="R156">
        <v>13.117962179999999</v>
      </c>
      <c r="S156">
        <v>112710.0211</v>
      </c>
      <c r="T156">
        <v>78.900000000000006</v>
      </c>
      <c r="U156">
        <v>28.2</v>
      </c>
      <c r="V156">
        <v>56.8</v>
      </c>
      <c r="W156">
        <v>81.099999999999994</v>
      </c>
      <c r="X156">
        <v>82.4</v>
      </c>
      <c r="Y156">
        <v>129.9</v>
      </c>
      <c r="Z156">
        <v>8.5</v>
      </c>
      <c r="AA156">
        <v>3.5</v>
      </c>
      <c r="AB156">
        <v>4.0999999999999996</v>
      </c>
      <c r="AC156">
        <v>28.8</v>
      </c>
      <c r="AD156">
        <v>24.6</v>
      </c>
      <c r="AE156">
        <v>64.599999999999994</v>
      </c>
      <c r="AF156">
        <v>1.5</v>
      </c>
      <c r="AG156">
        <v>199.2</v>
      </c>
      <c r="AH156">
        <v>133.30000000000001</v>
      </c>
      <c r="AI156">
        <v>67.2</v>
      </c>
      <c r="AJ156">
        <v>75.8</v>
      </c>
      <c r="AK156">
        <v>8.5</v>
      </c>
      <c r="AL156">
        <v>26.3</v>
      </c>
      <c r="AM156">
        <v>18.3</v>
      </c>
      <c r="AN156">
        <v>70.900000000000006</v>
      </c>
      <c r="AO156">
        <v>7.2619999999999996</v>
      </c>
    </row>
    <row r="157" spans="1:41" x14ac:dyDescent="0.3">
      <c r="A157" t="s">
        <v>488</v>
      </c>
      <c r="C157" t="s">
        <v>489</v>
      </c>
      <c r="D157" t="s">
        <v>41</v>
      </c>
      <c r="E157" t="b">
        <v>1</v>
      </c>
      <c r="F157" t="s">
        <v>490</v>
      </c>
      <c r="G157">
        <v>5494690</v>
      </c>
      <c r="H157">
        <v>-34</v>
      </c>
      <c r="I157">
        <v>-17.5</v>
      </c>
      <c r="J157">
        <v>104350000000</v>
      </c>
      <c r="K157">
        <v>105900000000</v>
      </c>
      <c r="L157">
        <v>18991</v>
      </c>
      <c r="O157">
        <v>0.85799999999999998</v>
      </c>
      <c r="P157">
        <v>80.031000000000006</v>
      </c>
      <c r="Q157">
        <v>13.43931961</v>
      </c>
      <c r="R157">
        <v>11.89000034</v>
      </c>
      <c r="S157">
        <v>36096.041230000003</v>
      </c>
      <c r="T157">
        <v>39.299999999999997</v>
      </c>
      <c r="U157">
        <v>12.3</v>
      </c>
      <c r="V157">
        <v>27.5</v>
      </c>
      <c r="W157">
        <v>37.799999999999997</v>
      </c>
      <c r="X157">
        <v>37.9</v>
      </c>
      <c r="Y157">
        <v>167</v>
      </c>
      <c r="Z157">
        <v>2.8</v>
      </c>
      <c r="AA157">
        <v>7.8</v>
      </c>
      <c r="AB157">
        <v>7.6</v>
      </c>
      <c r="AC157">
        <v>12.9</v>
      </c>
      <c r="AD157">
        <v>13.1</v>
      </c>
      <c r="AE157">
        <v>22.1</v>
      </c>
      <c r="AF157">
        <v>4.5</v>
      </c>
      <c r="AG157">
        <v>215.1</v>
      </c>
      <c r="AH157">
        <v>170.9</v>
      </c>
      <c r="AI157">
        <v>81.400000000000006</v>
      </c>
      <c r="AJ157">
        <v>63.3</v>
      </c>
      <c r="AK157">
        <v>2.8</v>
      </c>
      <c r="AL157">
        <v>24.3</v>
      </c>
      <c r="AM157">
        <v>36.4</v>
      </c>
      <c r="AN157">
        <v>71.3</v>
      </c>
      <c r="AO157">
        <v>6.1970000000000001</v>
      </c>
    </row>
    <row r="158" spans="1:41" x14ac:dyDescent="0.3">
      <c r="A158" t="s">
        <v>491</v>
      </c>
      <c r="B158" t="s">
        <v>492</v>
      </c>
      <c r="C158" t="s">
        <v>493</v>
      </c>
      <c r="D158" t="s">
        <v>41</v>
      </c>
      <c r="E158" t="b">
        <v>1</v>
      </c>
      <c r="F158" t="s">
        <v>309</v>
      </c>
      <c r="G158">
        <v>255220000</v>
      </c>
      <c r="H158">
        <v>-36.9</v>
      </c>
      <c r="I158">
        <v>-9.6</v>
      </c>
      <c r="K158">
        <v>299860000000</v>
      </c>
      <c r="L158">
        <v>1175</v>
      </c>
      <c r="M158">
        <v>2018</v>
      </c>
      <c r="N158">
        <v>0.29589265999999997</v>
      </c>
      <c r="O158">
        <v>0.54400000000000004</v>
      </c>
      <c r="P158">
        <v>67.649000000000001</v>
      </c>
      <c r="Q158">
        <v>7.8951084900000001</v>
      </c>
      <c r="R158">
        <v>4.3169870379999997</v>
      </c>
      <c r="S158">
        <v>5501.1329320000004</v>
      </c>
      <c r="T158">
        <v>17.7</v>
      </c>
      <c r="U158">
        <v>3.1</v>
      </c>
      <c r="V158">
        <v>11.3</v>
      </c>
      <c r="W158">
        <v>17.100000000000001</v>
      </c>
      <c r="X158">
        <v>14</v>
      </c>
      <c r="Y158">
        <v>33.6</v>
      </c>
      <c r="Z158">
        <v>14.3</v>
      </c>
      <c r="AA158">
        <v>4.4000000000000004</v>
      </c>
      <c r="AB158">
        <v>4.0999999999999996</v>
      </c>
      <c r="AC158">
        <v>22.7</v>
      </c>
      <c r="AD158">
        <v>24.1</v>
      </c>
      <c r="AE158">
        <v>277.39999999999998</v>
      </c>
      <c r="AF158">
        <v>0.4</v>
      </c>
      <c r="AG158">
        <v>105.7</v>
      </c>
      <c r="AH158">
        <v>34</v>
      </c>
      <c r="AI158">
        <v>57.6</v>
      </c>
      <c r="AJ158">
        <v>59.4</v>
      </c>
      <c r="AK158">
        <v>14.3</v>
      </c>
      <c r="AL158">
        <v>38.299999999999997</v>
      </c>
      <c r="AM158">
        <v>73.2</v>
      </c>
      <c r="AN158">
        <v>70.8</v>
      </c>
      <c r="AO158">
        <v>4.7679999999999998</v>
      </c>
    </row>
    <row r="159" spans="1:41" x14ac:dyDescent="0.3">
      <c r="A159" t="s">
        <v>494</v>
      </c>
      <c r="C159" t="s">
        <v>495</v>
      </c>
      <c r="D159" t="s">
        <v>52</v>
      </c>
      <c r="E159" t="b">
        <v>1</v>
      </c>
      <c r="G159">
        <v>17663</v>
      </c>
      <c r="J159">
        <v>333000000</v>
      </c>
      <c r="K159">
        <v>281850000</v>
      </c>
      <c r="L159">
        <v>18853</v>
      </c>
      <c r="O159">
        <v>0.78600000000000003</v>
      </c>
      <c r="P159">
        <v>69.269000000000005</v>
      </c>
      <c r="Q159">
        <v>14.06742382</v>
      </c>
      <c r="R159">
        <v>13.29903477</v>
      </c>
      <c r="S159">
        <v>16034.51036</v>
      </c>
    </row>
    <row r="160" spans="1:41" x14ac:dyDescent="0.3">
      <c r="A160" t="s">
        <v>496</v>
      </c>
      <c r="B160" t="s">
        <v>497</v>
      </c>
      <c r="C160" t="s">
        <v>498</v>
      </c>
      <c r="D160" t="s">
        <v>41</v>
      </c>
      <c r="E160" t="b">
        <v>1</v>
      </c>
      <c r="G160">
        <v>5589620</v>
      </c>
      <c r="K160">
        <v>17400000000</v>
      </c>
      <c r="L160">
        <v>3112</v>
      </c>
      <c r="M160">
        <v>2023</v>
      </c>
      <c r="N160">
        <v>0.36381876000000002</v>
      </c>
      <c r="O160">
        <v>0.67400000000000004</v>
      </c>
      <c r="P160">
        <v>65.17</v>
      </c>
      <c r="Q160">
        <v>12.998009679999999</v>
      </c>
      <c r="R160">
        <v>10.130000109999999</v>
      </c>
      <c r="S160">
        <v>6547.0986350000003</v>
      </c>
      <c r="T160">
        <v>43</v>
      </c>
      <c r="U160">
        <v>9</v>
      </c>
      <c r="V160">
        <v>28.2</v>
      </c>
      <c r="W160">
        <v>44.9</v>
      </c>
      <c r="X160">
        <v>33.1</v>
      </c>
      <c r="Y160">
        <v>52.2</v>
      </c>
      <c r="Z160">
        <v>6.5</v>
      </c>
      <c r="AA160">
        <v>7.6</v>
      </c>
      <c r="AB160">
        <v>7.5</v>
      </c>
      <c r="AC160">
        <v>13.1</v>
      </c>
      <c r="AD160">
        <v>13.3</v>
      </c>
      <c r="AE160">
        <v>61.4</v>
      </c>
      <c r="AF160">
        <v>1.6</v>
      </c>
      <c r="AO160">
        <v>4.78</v>
      </c>
    </row>
    <row r="161" spans="1:41" x14ac:dyDescent="0.3">
      <c r="A161" t="s">
        <v>499</v>
      </c>
      <c r="B161" t="s">
        <v>500</v>
      </c>
      <c r="C161" t="s">
        <v>501</v>
      </c>
      <c r="D161" t="s">
        <v>60</v>
      </c>
      <c r="E161" t="b">
        <v>1</v>
      </c>
      <c r="G161">
        <v>4571190</v>
      </c>
      <c r="J161">
        <v>91670000000</v>
      </c>
      <c r="K161">
        <v>83380000000</v>
      </c>
      <c r="L161">
        <v>20055</v>
      </c>
      <c r="M161">
        <v>2023</v>
      </c>
      <c r="N161">
        <v>0.48875666000000001</v>
      </c>
      <c r="O161">
        <v>0.83899999999999997</v>
      </c>
      <c r="P161">
        <v>79.593999999999994</v>
      </c>
      <c r="Q161">
        <v>13.311609799999999</v>
      </c>
      <c r="R161">
        <v>10.833750950000001</v>
      </c>
      <c r="S161">
        <v>34384.56813</v>
      </c>
      <c r="T161">
        <v>43.3</v>
      </c>
      <c r="U161">
        <v>23.4</v>
      </c>
      <c r="V161">
        <v>34.6</v>
      </c>
      <c r="W161">
        <v>48.6</v>
      </c>
      <c r="X161">
        <v>39.5</v>
      </c>
      <c r="Y161">
        <v>47.6</v>
      </c>
      <c r="Z161">
        <v>11</v>
      </c>
      <c r="AA161">
        <v>10</v>
      </c>
      <c r="AB161">
        <v>10.4</v>
      </c>
      <c r="AC161">
        <v>10</v>
      </c>
      <c r="AD161">
        <v>9.6</v>
      </c>
      <c r="AE161">
        <v>96.6</v>
      </c>
      <c r="AF161">
        <v>1</v>
      </c>
      <c r="AG161">
        <v>125.6</v>
      </c>
      <c r="AH161">
        <v>49.3</v>
      </c>
      <c r="AI161">
        <v>57.3</v>
      </c>
      <c r="AJ161">
        <v>61.2</v>
      </c>
      <c r="AK161">
        <v>11</v>
      </c>
      <c r="AL161">
        <v>35.200000000000003</v>
      </c>
      <c r="AM161">
        <v>55.6</v>
      </c>
      <c r="AN161">
        <v>68.2</v>
      </c>
      <c r="AO161">
        <v>6.407</v>
      </c>
    </row>
    <row r="162" spans="1:41" x14ac:dyDescent="0.3">
      <c r="A162" t="s">
        <v>502</v>
      </c>
      <c r="C162" t="s">
        <v>503</v>
      </c>
      <c r="D162" t="s">
        <v>52</v>
      </c>
      <c r="E162" t="b">
        <v>1</v>
      </c>
      <c r="G162">
        <v>10762800</v>
      </c>
      <c r="J162">
        <v>32840000000</v>
      </c>
      <c r="K162">
        <v>31020000000</v>
      </c>
      <c r="L162">
        <v>3051</v>
      </c>
      <c r="O162">
        <v>0.57599999999999996</v>
      </c>
      <c r="P162">
        <v>66.134</v>
      </c>
      <c r="Q162">
        <v>11.51107187</v>
      </c>
      <c r="R162">
        <v>4.9625310779999996</v>
      </c>
      <c r="S162">
        <v>3970.6477070000001</v>
      </c>
      <c r="T162">
        <v>65.599999999999994</v>
      </c>
      <c r="U162">
        <v>33.4</v>
      </c>
      <c r="V162">
        <v>51.6</v>
      </c>
      <c r="W162">
        <v>53.3</v>
      </c>
      <c r="X162">
        <v>33.6</v>
      </c>
      <c r="Y162">
        <v>15.7</v>
      </c>
    </row>
    <row r="163" spans="1:41" x14ac:dyDescent="0.3">
      <c r="A163" t="s">
        <v>504</v>
      </c>
      <c r="B163" t="s">
        <v>505</v>
      </c>
      <c r="C163" t="s">
        <v>506</v>
      </c>
      <c r="D163" t="s">
        <v>66</v>
      </c>
      <c r="E163" t="b">
        <v>1</v>
      </c>
      <c r="G163">
        <v>7013080</v>
      </c>
      <c r="J163">
        <v>45470000000</v>
      </c>
      <c r="K163">
        <v>42960000000</v>
      </c>
      <c r="L163">
        <v>6483</v>
      </c>
      <c r="M163">
        <v>2023</v>
      </c>
      <c r="N163">
        <v>0.44382226000000002</v>
      </c>
      <c r="O163">
        <v>0.75600000000000001</v>
      </c>
      <c r="P163">
        <v>73.843999999999994</v>
      </c>
      <c r="Q163">
        <v>13.98706964</v>
      </c>
      <c r="R163">
        <v>8.9306533849999994</v>
      </c>
      <c r="S163">
        <v>15252.220160000001</v>
      </c>
      <c r="T163">
        <v>22.8</v>
      </c>
      <c r="U163">
        <v>8.4</v>
      </c>
      <c r="V163">
        <v>16.600000000000001</v>
      </c>
      <c r="W163">
        <v>22.7</v>
      </c>
      <c r="X163">
        <v>19</v>
      </c>
      <c r="Y163">
        <v>47.9</v>
      </c>
      <c r="Z163">
        <v>15.6</v>
      </c>
      <c r="AA163">
        <v>5.7</v>
      </c>
      <c r="AB163">
        <v>5.4</v>
      </c>
      <c r="AC163">
        <v>17.399999999999999</v>
      </c>
      <c r="AD163">
        <v>18.399999999999999</v>
      </c>
      <c r="AE163">
        <v>179.5</v>
      </c>
      <c r="AF163">
        <v>0.6</v>
      </c>
      <c r="AO163">
        <v>6.1719999999999997</v>
      </c>
    </row>
    <row r="164" spans="1:41" x14ac:dyDescent="0.3">
      <c r="A164" t="s">
        <v>507</v>
      </c>
      <c r="B164" t="s">
        <v>508</v>
      </c>
      <c r="C164" t="s">
        <v>509</v>
      </c>
      <c r="D164" t="s">
        <v>66</v>
      </c>
      <c r="E164" t="b">
        <v>1</v>
      </c>
      <c r="F164" t="s">
        <v>510</v>
      </c>
      <c r="G164">
        <v>34576700</v>
      </c>
      <c r="H164">
        <v>-21.2</v>
      </c>
      <c r="I164">
        <v>7.9</v>
      </c>
      <c r="J164">
        <v>303290000000</v>
      </c>
      <c r="K164">
        <v>267600000000</v>
      </c>
      <c r="L164">
        <v>8772</v>
      </c>
      <c r="M164">
        <v>2023</v>
      </c>
      <c r="N164">
        <v>0.40657840000000001</v>
      </c>
      <c r="O164">
        <v>0.79400000000000004</v>
      </c>
      <c r="P164">
        <v>77.739999999999995</v>
      </c>
      <c r="Q164">
        <v>14.90939376</v>
      </c>
      <c r="R164">
        <v>10.15465159</v>
      </c>
      <c r="S164">
        <v>14338.709769999999</v>
      </c>
      <c r="T164">
        <v>30</v>
      </c>
      <c r="U164">
        <v>10.199999999999999</v>
      </c>
      <c r="V164">
        <v>21.4</v>
      </c>
      <c r="W164">
        <v>33.6</v>
      </c>
      <c r="X164">
        <v>24.2</v>
      </c>
      <c r="Y164">
        <v>47.9</v>
      </c>
      <c r="Z164">
        <v>16.899999999999999</v>
      </c>
      <c r="AA164">
        <v>5.6</v>
      </c>
      <c r="AB164">
        <v>3.8</v>
      </c>
      <c r="AC164">
        <v>17.8</v>
      </c>
      <c r="AD164">
        <v>26.4</v>
      </c>
      <c r="AE164">
        <v>203.7</v>
      </c>
      <c r="AF164">
        <v>0.5</v>
      </c>
      <c r="AG164">
        <v>90.7</v>
      </c>
      <c r="AH164">
        <v>49.1</v>
      </c>
      <c r="AI164">
        <v>33.299999999999997</v>
      </c>
      <c r="AJ164">
        <v>56.7</v>
      </c>
      <c r="AK164">
        <v>16.899999999999999</v>
      </c>
      <c r="AL164">
        <v>49.8</v>
      </c>
      <c r="AM164">
        <v>81.900000000000006</v>
      </c>
      <c r="AN164">
        <v>93.3</v>
      </c>
      <c r="AO164">
        <v>5.9470000000000001</v>
      </c>
    </row>
    <row r="165" spans="1:41" x14ac:dyDescent="0.3">
      <c r="A165" t="s">
        <v>511</v>
      </c>
      <c r="B165" t="s">
        <v>512</v>
      </c>
      <c r="C165" t="s">
        <v>513</v>
      </c>
      <c r="D165" t="s">
        <v>41</v>
      </c>
      <c r="E165" t="b">
        <v>1</v>
      </c>
      <c r="F165" t="s">
        <v>67</v>
      </c>
      <c r="G165">
        <v>116787000</v>
      </c>
      <c r="H165">
        <v>-50.4</v>
      </c>
      <c r="I165">
        <v>-31.1</v>
      </c>
      <c r="J165">
        <v>497500000000</v>
      </c>
      <c r="K165">
        <v>437150000000</v>
      </c>
      <c r="L165">
        <v>4260</v>
      </c>
      <c r="M165">
        <v>2023</v>
      </c>
      <c r="N165">
        <v>0.35203487</v>
      </c>
      <c r="O165">
        <v>0.72</v>
      </c>
      <c r="P165">
        <v>69.832999999999998</v>
      </c>
      <c r="Q165">
        <v>12.81904666</v>
      </c>
      <c r="R165">
        <v>9.9772396089999997</v>
      </c>
      <c r="S165">
        <v>10731.20422</v>
      </c>
      <c r="T165">
        <v>29.5</v>
      </c>
      <c r="U165">
        <v>7.3</v>
      </c>
      <c r="V165">
        <v>19.8</v>
      </c>
      <c r="W165">
        <v>34.9</v>
      </c>
      <c r="X165">
        <v>18.5</v>
      </c>
      <c r="Y165">
        <v>40.5</v>
      </c>
      <c r="Z165">
        <v>24.3</v>
      </c>
      <c r="AA165">
        <v>2.8</v>
      </c>
      <c r="AB165">
        <v>3.2</v>
      </c>
      <c r="AC165">
        <v>35.799999999999997</v>
      </c>
      <c r="AD165">
        <v>31</v>
      </c>
      <c r="AE165">
        <v>229.7</v>
      </c>
      <c r="AF165">
        <v>0.4</v>
      </c>
      <c r="AG165">
        <v>98.1</v>
      </c>
      <c r="AH165">
        <v>41.3</v>
      </c>
      <c r="AI165">
        <v>56.6</v>
      </c>
      <c r="AJ165">
        <v>66.8</v>
      </c>
      <c r="AK165">
        <v>24.3</v>
      </c>
      <c r="AL165">
        <v>41.6</v>
      </c>
      <c r="AM165">
        <v>72.5</v>
      </c>
      <c r="AN165">
        <v>69</v>
      </c>
      <c r="AO165">
        <v>6.1070000000000002</v>
      </c>
    </row>
    <row r="166" spans="1:41" x14ac:dyDescent="0.3">
      <c r="A166" t="s">
        <v>514</v>
      </c>
      <c r="B166" t="s">
        <v>515</v>
      </c>
      <c r="C166" t="s">
        <v>516</v>
      </c>
      <c r="D166" t="s">
        <v>45</v>
      </c>
      <c r="E166" t="b">
        <v>1</v>
      </c>
      <c r="F166" t="s">
        <v>517</v>
      </c>
      <c r="G166">
        <v>38140900</v>
      </c>
      <c r="H166">
        <v>-3.4</v>
      </c>
      <c r="I166">
        <v>22.2</v>
      </c>
      <c r="J166">
        <v>979960000000</v>
      </c>
      <c r="K166">
        <v>809200000000</v>
      </c>
      <c r="L166">
        <v>25693</v>
      </c>
      <c r="M166">
        <v>2022</v>
      </c>
      <c r="N166">
        <v>0.28858184999999997</v>
      </c>
      <c r="O166">
        <v>0.90600000000000003</v>
      </c>
      <c r="P166">
        <v>78.632999999999996</v>
      </c>
      <c r="Q166">
        <v>16.678279880000002</v>
      </c>
      <c r="R166">
        <v>13.208542420000001</v>
      </c>
      <c r="S166">
        <v>42217.637779999997</v>
      </c>
      <c r="T166">
        <v>43.7</v>
      </c>
      <c r="U166">
        <v>18.399999999999999</v>
      </c>
      <c r="V166">
        <v>32.700000000000003</v>
      </c>
      <c r="W166">
        <v>38.6</v>
      </c>
      <c r="X166">
        <v>42.2</v>
      </c>
      <c r="Y166">
        <v>100.4</v>
      </c>
      <c r="Z166">
        <v>10.9</v>
      </c>
      <c r="AA166">
        <v>4</v>
      </c>
      <c r="AB166">
        <v>4.4000000000000004</v>
      </c>
      <c r="AC166">
        <v>24.9</v>
      </c>
      <c r="AD166">
        <v>22.8</v>
      </c>
      <c r="AE166">
        <v>101.2</v>
      </c>
      <c r="AF166">
        <v>1</v>
      </c>
      <c r="AG166">
        <v>157.19999999999999</v>
      </c>
      <c r="AH166">
        <v>103.3</v>
      </c>
      <c r="AI166">
        <v>71.3</v>
      </c>
      <c r="AJ166">
        <v>58</v>
      </c>
      <c r="AK166">
        <v>10.9</v>
      </c>
      <c r="AL166">
        <v>32.1</v>
      </c>
      <c r="AM166">
        <v>55.3</v>
      </c>
      <c r="AN166">
        <v>75.599999999999994</v>
      </c>
      <c r="AO166">
        <v>6.673</v>
      </c>
    </row>
    <row r="167" spans="1:41" x14ac:dyDescent="0.3">
      <c r="A167" t="s">
        <v>518</v>
      </c>
      <c r="B167" t="s">
        <v>519</v>
      </c>
      <c r="C167" t="s">
        <v>520</v>
      </c>
      <c r="D167" t="s">
        <v>45</v>
      </c>
      <c r="E167" t="b">
        <v>1</v>
      </c>
      <c r="G167">
        <v>10411800</v>
      </c>
      <c r="J167">
        <v>321440000000</v>
      </c>
      <c r="K167">
        <v>289110000000</v>
      </c>
      <c r="L167">
        <v>30873</v>
      </c>
      <c r="M167">
        <v>2022</v>
      </c>
      <c r="N167">
        <v>0.36252203999999999</v>
      </c>
      <c r="O167">
        <v>0.89</v>
      </c>
      <c r="P167">
        <v>82.36</v>
      </c>
      <c r="Q167">
        <v>17.486820219999998</v>
      </c>
      <c r="R167">
        <v>9.7032544119999997</v>
      </c>
      <c r="S167">
        <v>41063.92568</v>
      </c>
      <c r="T167">
        <v>45.8</v>
      </c>
      <c r="U167">
        <v>25.1</v>
      </c>
      <c r="V167">
        <v>36.799999999999997</v>
      </c>
      <c r="W167">
        <v>44.7</v>
      </c>
      <c r="X167">
        <v>40.5</v>
      </c>
      <c r="Y167">
        <v>65.3</v>
      </c>
      <c r="Z167">
        <v>14.6</v>
      </c>
      <c r="AA167">
        <v>5.7</v>
      </c>
      <c r="AB167">
        <v>5.8</v>
      </c>
      <c r="AC167">
        <v>17.5</v>
      </c>
      <c r="AD167">
        <v>17.2</v>
      </c>
      <c r="AE167">
        <v>114.1</v>
      </c>
      <c r="AF167">
        <v>0.9</v>
      </c>
      <c r="AG167">
        <v>169.1</v>
      </c>
      <c r="AH167">
        <v>67.7</v>
      </c>
      <c r="AI167">
        <v>67.599999999999994</v>
      </c>
      <c r="AJ167">
        <v>72</v>
      </c>
      <c r="AK167">
        <v>14.6</v>
      </c>
      <c r="AL167">
        <v>28.5</v>
      </c>
      <c r="AM167">
        <v>29.5</v>
      </c>
      <c r="AN167">
        <v>97.7</v>
      </c>
      <c r="AO167">
        <v>6.0129999999999999</v>
      </c>
    </row>
    <row r="168" spans="1:41" x14ac:dyDescent="0.3">
      <c r="A168" t="s">
        <v>521</v>
      </c>
      <c r="C168" t="s">
        <v>522</v>
      </c>
      <c r="D168" t="s">
        <v>60</v>
      </c>
      <c r="E168" t="b">
        <v>0</v>
      </c>
      <c r="G168">
        <v>3235290</v>
      </c>
      <c r="J168">
        <v>122520000000</v>
      </c>
      <c r="K168">
        <v>117900000000</v>
      </c>
      <c r="L168">
        <v>37870</v>
      </c>
      <c r="T168">
        <v>59.8</v>
      </c>
      <c r="U168">
        <v>20.6</v>
      </c>
      <c r="V168">
        <v>42.7</v>
      </c>
      <c r="W168">
        <v>64.8</v>
      </c>
      <c r="X168">
        <v>51.3</v>
      </c>
      <c r="Y168">
        <v>119.6</v>
      </c>
      <c r="Z168">
        <v>5</v>
      </c>
      <c r="AA168">
        <v>5.9</v>
      </c>
      <c r="AB168">
        <v>7.4</v>
      </c>
      <c r="AC168">
        <v>16.899999999999999</v>
      </c>
      <c r="AD168">
        <v>13.5</v>
      </c>
      <c r="AE168">
        <v>41.4</v>
      </c>
      <c r="AF168">
        <v>2.4</v>
      </c>
      <c r="AG168">
        <v>156.6</v>
      </c>
      <c r="AH168">
        <v>122.6</v>
      </c>
      <c r="AI168">
        <v>38.700000000000003</v>
      </c>
      <c r="AJ168">
        <v>59.1</v>
      </c>
      <c r="AK168">
        <v>5</v>
      </c>
      <c r="AL168">
        <v>32.6</v>
      </c>
      <c r="AM168">
        <v>47.9</v>
      </c>
      <c r="AN168">
        <v>71.2</v>
      </c>
    </row>
    <row r="169" spans="1:41" x14ac:dyDescent="0.3">
      <c r="A169" t="s">
        <v>523</v>
      </c>
      <c r="B169" t="s">
        <v>524</v>
      </c>
      <c r="C169" t="s">
        <v>525</v>
      </c>
      <c r="D169" t="s">
        <v>41</v>
      </c>
      <c r="E169" t="b">
        <v>1</v>
      </c>
      <c r="F169" t="s">
        <v>526</v>
      </c>
      <c r="G169">
        <v>3115890</v>
      </c>
      <c r="H169">
        <v>-22.3</v>
      </c>
      <c r="I169">
        <v>-24</v>
      </c>
      <c r="J169">
        <v>222780000000</v>
      </c>
      <c r="K169">
        <v>213000000000</v>
      </c>
      <c r="L169">
        <v>71497</v>
      </c>
      <c r="M169">
        <v>2017</v>
      </c>
      <c r="N169">
        <v>0.35128385000000001</v>
      </c>
      <c r="O169">
        <v>0.88600000000000001</v>
      </c>
      <c r="P169">
        <v>82.367999999999995</v>
      </c>
      <c r="Q169">
        <v>13.14116001</v>
      </c>
      <c r="R169">
        <v>10.77000046</v>
      </c>
      <c r="S169">
        <v>105353.268</v>
      </c>
      <c r="T169">
        <v>46.9</v>
      </c>
      <c r="U169">
        <v>37.1</v>
      </c>
      <c r="V169">
        <v>42.7</v>
      </c>
      <c r="W169">
        <v>40.299999999999997</v>
      </c>
      <c r="X169">
        <v>45.5</v>
      </c>
      <c r="Y169">
        <v>169.9</v>
      </c>
      <c r="Z169">
        <v>6.2</v>
      </c>
      <c r="AA169">
        <v>6.8</v>
      </c>
      <c r="AB169">
        <v>6</v>
      </c>
      <c r="AC169">
        <v>14.8</v>
      </c>
      <c r="AD169">
        <v>16.7</v>
      </c>
      <c r="AE169">
        <v>51</v>
      </c>
      <c r="AF169">
        <v>2</v>
      </c>
      <c r="AG169">
        <v>189.4</v>
      </c>
      <c r="AH169">
        <v>177.6</v>
      </c>
      <c r="AI169">
        <v>84.6</v>
      </c>
      <c r="AJ169">
        <v>73.5</v>
      </c>
      <c r="AK169">
        <v>6.2</v>
      </c>
      <c r="AL169">
        <v>29</v>
      </c>
      <c r="AM169">
        <v>60</v>
      </c>
      <c r="AN169">
        <v>36</v>
      </c>
    </row>
    <row r="170" spans="1:41" x14ac:dyDescent="0.3">
      <c r="A170" t="s">
        <v>527</v>
      </c>
      <c r="B170" t="s">
        <v>528</v>
      </c>
      <c r="C170" t="s">
        <v>529</v>
      </c>
      <c r="D170" t="s">
        <v>49</v>
      </c>
      <c r="E170" t="b">
        <v>1</v>
      </c>
      <c r="G170">
        <v>6484440</v>
      </c>
      <c r="J170">
        <v>15280000000</v>
      </c>
      <c r="K170">
        <v>14170000000</v>
      </c>
      <c r="L170">
        <v>2357</v>
      </c>
      <c r="M170">
        <v>2011</v>
      </c>
      <c r="N170">
        <v>0.48937692999999999</v>
      </c>
      <c r="O170">
        <v>0.64900000000000002</v>
      </c>
      <c r="P170">
        <v>65.772000000000006</v>
      </c>
      <c r="Q170">
        <v>12.681947109999999</v>
      </c>
      <c r="R170">
        <v>8.3226447920000002</v>
      </c>
      <c r="S170">
        <v>5902.5990659999998</v>
      </c>
      <c r="AO170">
        <v>5.03</v>
      </c>
    </row>
    <row r="171" spans="1:41" x14ac:dyDescent="0.3">
      <c r="A171" t="s">
        <v>530</v>
      </c>
      <c r="C171" t="s">
        <v>531</v>
      </c>
      <c r="D171" t="s">
        <v>49</v>
      </c>
      <c r="E171" t="b">
        <v>0</v>
      </c>
    </row>
    <row r="172" spans="1:41" x14ac:dyDescent="0.3">
      <c r="A172" t="s">
        <v>532</v>
      </c>
      <c r="B172" t="s">
        <v>533</v>
      </c>
      <c r="C172" t="s">
        <v>534</v>
      </c>
      <c r="D172" t="s">
        <v>45</v>
      </c>
      <c r="E172" t="b">
        <v>1</v>
      </c>
      <c r="F172" t="s">
        <v>429</v>
      </c>
      <c r="G172">
        <v>18908600</v>
      </c>
      <c r="H172">
        <v>-35.5</v>
      </c>
      <c r="I172">
        <v>-20.2</v>
      </c>
      <c r="J172">
        <v>403390000000</v>
      </c>
      <c r="K172">
        <v>350780000000</v>
      </c>
      <c r="L172">
        <v>21334</v>
      </c>
      <c r="M172">
        <v>2022</v>
      </c>
      <c r="N172">
        <v>0.32303035000000002</v>
      </c>
      <c r="O172">
        <v>0.84499999999999997</v>
      </c>
      <c r="P172">
        <v>75.938000000000002</v>
      </c>
      <c r="Q172">
        <v>14.052880289999999</v>
      </c>
      <c r="R172">
        <v>11.55000019</v>
      </c>
      <c r="S172">
        <v>39374.253720000001</v>
      </c>
      <c r="T172">
        <v>38.299999999999997</v>
      </c>
      <c r="U172">
        <v>11.3</v>
      </c>
      <c r="V172">
        <v>26.6</v>
      </c>
      <c r="W172">
        <v>37.4</v>
      </c>
      <c r="X172">
        <v>39.700000000000003</v>
      </c>
      <c r="Y172">
        <v>79.900000000000006</v>
      </c>
      <c r="Z172">
        <v>10.4</v>
      </c>
      <c r="AA172">
        <v>4.0999999999999996</v>
      </c>
      <c r="AB172">
        <v>4.2</v>
      </c>
      <c r="AC172">
        <v>24.1</v>
      </c>
      <c r="AD172">
        <v>23.9</v>
      </c>
      <c r="AE172">
        <v>95.5</v>
      </c>
      <c r="AF172">
        <v>1</v>
      </c>
      <c r="AG172">
        <v>145.1</v>
      </c>
      <c r="AH172">
        <v>81.7</v>
      </c>
      <c r="AI172">
        <v>67.400000000000006</v>
      </c>
      <c r="AJ172">
        <v>56.8</v>
      </c>
      <c r="AK172">
        <v>10.4</v>
      </c>
      <c r="AL172">
        <v>33</v>
      </c>
      <c r="AM172">
        <v>58.2</v>
      </c>
      <c r="AN172">
        <v>76.3</v>
      </c>
      <c r="AO172">
        <v>6.5629999999999997</v>
      </c>
    </row>
    <row r="173" spans="1:41" x14ac:dyDescent="0.3">
      <c r="A173" t="s">
        <v>535</v>
      </c>
      <c r="B173" t="s">
        <v>536</v>
      </c>
      <c r="C173" t="s">
        <v>537</v>
      </c>
      <c r="D173" t="s">
        <v>41</v>
      </c>
      <c r="E173" t="b">
        <v>1</v>
      </c>
      <c r="G173">
        <v>143997000</v>
      </c>
      <c r="J173">
        <v>2080000000000</v>
      </c>
      <c r="K173">
        <v>2010000000000</v>
      </c>
      <c r="L173">
        <v>14420</v>
      </c>
      <c r="M173">
        <v>2020</v>
      </c>
      <c r="N173">
        <v>0.36068243</v>
      </c>
      <c r="O173">
        <v>0.83199999999999996</v>
      </c>
      <c r="P173">
        <v>73.153999999999996</v>
      </c>
      <c r="Q173">
        <v>13.18515015</v>
      </c>
      <c r="R173">
        <v>12.40999985</v>
      </c>
      <c r="S173">
        <v>39221.683590000001</v>
      </c>
      <c r="T173">
        <v>36.1</v>
      </c>
      <c r="U173">
        <v>14.1</v>
      </c>
      <c r="V173">
        <v>26.5</v>
      </c>
      <c r="W173">
        <v>35.200000000000003</v>
      </c>
      <c r="X173">
        <v>34.4</v>
      </c>
      <c r="Y173">
        <v>62.6</v>
      </c>
      <c r="Z173">
        <v>15.5</v>
      </c>
      <c r="AA173">
        <v>4.4000000000000004</v>
      </c>
      <c r="AB173">
        <v>4.3</v>
      </c>
      <c r="AC173">
        <v>22.9</v>
      </c>
      <c r="AD173">
        <v>23.5</v>
      </c>
      <c r="AE173">
        <v>270.10000000000002</v>
      </c>
      <c r="AF173">
        <v>0.4</v>
      </c>
      <c r="AG173">
        <v>113.5</v>
      </c>
      <c r="AH173">
        <v>64.3</v>
      </c>
      <c r="AI173">
        <v>61.6</v>
      </c>
      <c r="AJ173">
        <v>61.7</v>
      </c>
      <c r="AK173">
        <v>15.5</v>
      </c>
      <c r="AL173">
        <v>43.4</v>
      </c>
      <c r="AM173">
        <v>58.5</v>
      </c>
      <c r="AN173">
        <v>36.299999999999997</v>
      </c>
      <c r="AO173">
        <v>5.9450000000000003</v>
      </c>
    </row>
    <row r="174" spans="1:41" x14ac:dyDescent="0.3">
      <c r="A174" t="s">
        <v>538</v>
      </c>
      <c r="B174" t="s">
        <v>539</v>
      </c>
      <c r="C174" t="s">
        <v>540</v>
      </c>
      <c r="D174" t="s">
        <v>49</v>
      </c>
      <c r="E174" t="b">
        <v>1</v>
      </c>
      <c r="G174">
        <v>14569300</v>
      </c>
      <c r="J174">
        <v>14770000000</v>
      </c>
      <c r="K174">
        <v>14100000000</v>
      </c>
      <c r="L174">
        <v>1014</v>
      </c>
      <c r="M174">
        <v>2016</v>
      </c>
      <c r="N174">
        <v>0.43709510000000001</v>
      </c>
      <c r="O174">
        <v>0.57799999999999996</v>
      </c>
      <c r="P174">
        <v>67.784999999999997</v>
      </c>
      <c r="Q174">
        <v>12.59045029</v>
      </c>
      <c r="R174">
        <v>4.8800001140000004</v>
      </c>
      <c r="S174">
        <v>2970.5594609999998</v>
      </c>
      <c r="T174">
        <v>29.7</v>
      </c>
      <c r="U174">
        <v>10.6</v>
      </c>
      <c r="V174">
        <v>21.4</v>
      </c>
      <c r="W174">
        <v>22.4</v>
      </c>
      <c r="X174">
        <v>21.4</v>
      </c>
      <c r="Y174">
        <v>23.2</v>
      </c>
    </row>
    <row r="175" spans="1:41" x14ac:dyDescent="0.3">
      <c r="A175" t="s">
        <v>541</v>
      </c>
      <c r="C175" t="s">
        <v>542</v>
      </c>
      <c r="D175" t="s">
        <v>60</v>
      </c>
      <c r="E175" t="b">
        <v>0</v>
      </c>
    </row>
    <row r="176" spans="1:41" x14ac:dyDescent="0.3">
      <c r="A176" t="s">
        <v>543</v>
      </c>
      <c r="C176" t="s">
        <v>544</v>
      </c>
      <c r="D176" t="s">
        <v>60</v>
      </c>
      <c r="E176" t="b">
        <v>1</v>
      </c>
      <c r="G176">
        <v>46922</v>
      </c>
      <c r="J176">
        <v>1130000000</v>
      </c>
      <c r="K176">
        <v>1060000000</v>
      </c>
      <c r="L176">
        <v>24061</v>
      </c>
      <c r="O176">
        <v>0.84</v>
      </c>
      <c r="P176">
        <v>72.144999999999996</v>
      </c>
      <c r="Q176">
        <v>18.407030110000001</v>
      </c>
      <c r="R176">
        <v>10.8494008</v>
      </c>
      <c r="S176">
        <v>29105.437430000002</v>
      </c>
    </row>
    <row r="177" spans="1:41" x14ac:dyDescent="0.3">
      <c r="A177" t="s">
        <v>545</v>
      </c>
      <c r="B177" t="s">
        <v>546</v>
      </c>
      <c r="C177" t="s">
        <v>547</v>
      </c>
      <c r="D177" t="s">
        <v>60</v>
      </c>
      <c r="E177" t="b">
        <v>1</v>
      </c>
      <c r="G177">
        <v>180149</v>
      </c>
      <c r="J177">
        <v>2630000000</v>
      </c>
      <c r="K177">
        <v>2430000000</v>
      </c>
      <c r="L177">
        <v>14610</v>
      </c>
      <c r="M177">
        <v>2015</v>
      </c>
      <c r="N177">
        <v>0.51225065999999997</v>
      </c>
      <c r="O177">
        <v>0.748</v>
      </c>
      <c r="P177">
        <v>72.697000000000003</v>
      </c>
      <c r="Q177">
        <v>12.73040962</v>
      </c>
      <c r="R177">
        <v>8.6141670549999994</v>
      </c>
      <c r="S177">
        <v>20899.781930000001</v>
      </c>
    </row>
    <row r="178" spans="1:41" x14ac:dyDescent="0.3">
      <c r="A178" t="s">
        <v>548</v>
      </c>
      <c r="C178" t="s">
        <v>549</v>
      </c>
      <c r="D178" t="s">
        <v>60</v>
      </c>
      <c r="E178" t="b">
        <v>0</v>
      </c>
    </row>
    <row r="179" spans="1:41" x14ac:dyDescent="0.3">
      <c r="A179" t="s">
        <v>550</v>
      </c>
      <c r="C179" t="s">
        <v>551</v>
      </c>
      <c r="D179" t="s">
        <v>60</v>
      </c>
      <c r="E179" t="b">
        <v>0</v>
      </c>
    </row>
    <row r="180" spans="1:41" x14ac:dyDescent="0.3">
      <c r="A180" t="s">
        <v>552</v>
      </c>
      <c r="C180" t="s">
        <v>553</v>
      </c>
      <c r="D180" t="s">
        <v>60</v>
      </c>
      <c r="E180" t="b">
        <v>1</v>
      </c>
      <c r="G180">
        <v>99924</v>
      </c>
      <c r="J180">
        <v>1240000000</v>
      </c>
      <c r="K180">
        <v>1090000000</v>
      </c>
      <c r="L180">
        <v>12429</v>
      </c>
      <c r="O180">
        <v>0.79800000000000004</v>
      </c>
      <c r="P180">
        <v>71.23</v>
      </c>
      <c r="Q180">
        <v>16.2530213</v>
      </c>
      <c r="R180">
        <v>11.295349679999999</v>
      </c>
      <c r="S180">
        <v>17246.63609</v>
      </c>
    </row>
    <row r="181" spans="1:41" x14ac:dyDescent="0.3">
      <c r="A181" t="s">
        <v>554</v>
      </c>
      <c r="B181" t="s">
        <v>555</v>
      </c>
      <c r="C181" t="s">
        <v>556</v>
      </c>
      <c r="D181" t="s">
        <v>52</v>
      </c>
      <c r="E181" t="b">
        <v>1</v>
      </c>
      <c r="G181">
        <v>219306</v>
      </c>
      <c r="J181">
        <v>1160000000</v>
      </c>
      <c r="K181">
        <v>1030000000</v>
      </c>
      <c r="L181">
        <v>5289</v>
      </c>
      <c r="M181">
        <v>2013</v>
      </c>
      <c r="N181">
        <v>0.38743453999999999</v>
      </c>
      <c r="O181">
        <v>0.70799999999999996</v>
      </c>
      <c r="P181">
        <v>71.697999999999993</v>
      </c>
      <c r="Q181">
        <v>12.436400000000001</v>
      </c>
      <c r="R181">
        <v>11.332983609999999</v>
      </c>
      <c r="S181">
        <v>5952.0169249999999</v>
      </c>
    </row>
    <row r="182" spans="1:41" x14ac:dyDescent="0.3">
      <c r="A182" t="s">
        <v>557</v>
      </c>
      <c r="C182" t="s">
        <v>558</v>
      </c>
      <c r="D182" t="s">
        <v>45</v>
      </c>
      <c r="E182" t="b">
        <v>1</v>
      </c>
      <c r="G182">
        <v>33572</v>
      </c>
      <c r="J182">
        <v>2050000000</v>
      </c>
      <c r="K182">
        <v>1990000000</v>
      </c>
      <c r="L182">
        <v>60973</v>
      </c>
      <c r="O182">
        <v>0.91500000000000004</v>
      </c>
      <c r="P182">
        <v>85.706000000000003</v>
      </c>
      <c r="Q182">
        <v>14.59976717</v>
      </c>
      <c r="R182">
        <v>11.35999966</v>
      </c>
      <c r="S182">
        <v>64706.37558</v>
      </c>
    </row>
    <row r="183" spans="1:41" x14ac:dyDescent="0.3">
      <c r="A183" t="s">
        <v>559</v>
      </c>
      <c r="B183" t="s">
        <v>560</v>
      </c>
      <c r="C183" t="s">
        <v>561</v>
      </c>
      <c r="D183" t="s">
        <v>49</v>
      </c>
      <c r="E183" t="b">
        <v>1</v>
      </c>
      <c r="G183">
        <v>240254</v>
      </c>
      <c r="J183">
        <v>864000000</v>
      </c>
      <c r="K183">
        <v>684070000</v>
      </c>
      <c r="L183">
        <v>3596</v>
      </c>
      <c r="M183">
        <v>2017</v>
      </c>
      <c r="N183">
        <v>0.40729480000000001</v>
      </c>
      <c r="O183">
        <v>0.63700000000000001</v>
      </c>
      <c r="P183">
        <v>69.718000000000004</v>
      </c>
      <c r="Q183">
        <v>12.8567099</v>
      </c>
      <c r="R183">
        <v>5.9875591750000003</v>
      </c>
      <c r="S183">
        <v>5583.4233350000004</v>
      </c>
    </row>
    <row r="184" spans="1:41" x14ac:dyDescent="0.3">
      <c r="A184" t="s">
        <v>562</v>
      </c>
      <c r="C184" t="s">
        <v>563</v>
      </c>
      <c r="D184" t="s">
        <v>41</v>
      </c>
      <c r="E184" t="b">
        <v>1</v>
      </c>
      <c r="F184" t="s">
        <v>526</v>
      </c>
      <c r="G184">
        <v>34566300</v>
      </c>
      <c r="H184">
        <v>-15.7</v>
      </c>
      <c r="I184">
        <v>2.6</v>
      </c>
      <c r="J184">
        <v>1080000000000</v>
      </c>
      <c r="K184">
        <v>1070000000000</v>
      </c>
      <c r="L184">
        <v>31353</v>
      </c>
      <c r="O184">
        <v>0.9</v>
      </c>
      <c r="P184">
        <v>78.731999999999999</v>
      </c>
      <c r="Q184">
        <v>16.949430469999999</v>
      </c>
      <c r="R184">
        <v>11.606427780000001</v>
      </c>
      <c r="S184">
        <v>50298.913630000003</v>
      </c>
      <c r="T184">
        <v>41.5</v>
      </c>
      <c r="U184">
        <v>11.9</v>
      </c>
      <c r="V184">
        <v>28.6</v>
      </c>
      <c r="W184">
        <v>39.5</v>
      </c>
      <c r="X184">
        <v>31.8</v>
      </c>
      <c r="Y184">
        <v>151.69999999999999</v>
      </c>
      <c r="Z184">
        <v>3.5</v>
      </c>
      <c r="AA184">
        <v>5.7</v>
      </c>
      <c r="AB184">
        <v>7.2</v>
      </c>
      <c r="AC184">
        <v>17.399999999999999</v>
      </c>
      <c r="AD184">
        <v>13.8</v>
      </c>
      <c r="AE184">
        <v>27.1</v>
      </c>
      <c r="AF184">
        <v>3.7</v>
      </c>
      <c r="AG184">
        <v>173.7</v>
      </c>
      <c r="AH184">
        <v>155</v>
      </c>
      <c r="AI184">
        <v>76.3</v>
      </c>
      <c r="AJ184">
        <v>61.9</v>
      </c>
      <c r="AK184">
        <v>3.5</v>
      </c>
      <c r="AL184">
        <v>30.2</v>
      </c>
      <c r="AM184">
        <v>62.4</v>
      </c>
      <c r="AN184">
        <v>39.299999999999997</v>
      </c>
      <c r="AO184">
        <v>6.6</v>
      </c>
    </row>
    <row r="185" spans="1:41" x14ac:dyDescent="0.3">
      <c r="A185" t="s">
        <v>564</v>
      </c>
      <c r="B185" t="s">
        <v>565</v>
      </c>
      <c r="C185" t="s">
        <v>566</v>
      </c>
      <c r="D185" t="s">
        <v>49</v>
      </c>
      <c r="E185" t="b">
        <v>1</v>
      </c>
      <c r="G185">
        <v>18932000</v>
      </c>
      <c r="J185">
        <v>34730000000</v>
      </c>
      <c r="K185">
        <v>30410000000</v>
      </c>
      <c r="L185">
        <v>1834</v>
      </c>
      <c r="M185">
        <v>2021</v>
      </c>
      <c r="N185">
        <v>0.36157719999999999</v>
      </c>
      <c r="O185">
        <v>0.53</v>
      </c>
      <c r="P185">
        <v>68.683000000000007</v>
      </c>
      <c r="Q185">
        <v>9.1427097320000001</v>
      </c>
      <c r="R185">
        <v>2.934554012</v>
      </c>
      <c r="S185">
        <v>4202.0307290000001</v>
      </c>
      <c r="T185">
        <v>45</v>
      </c>
      <c r="U185">
        <v>19.7</v>
      </c>
      <c r="V185">
        <v>34</v>
      </c>
      <c r="W185">
        <v>43.3</v>
      </c>
      <c r="X185">
        <v>38.9</v>
      </c>
      <c r="Y185">
        <v>23.7</v>
      </c>
      <c r="AO185">
        <v>4.8559999999999999</v>
      </c>
    </row>
    <row r="186" spans="1:41" x14ac:dyDescent="0.3">
      <c r="A186" t="s">
        <v>567</v>
      </c>
      <c r="B186" t="s">
        <v>568</v>
      </c>
      <c r="C186" t="s">
        <v>569</v>
      </c>
      <c r="D186" t="s">
        <v>45</v>
      </c>
      <c r="E186" t="b">
        <v>1</v>
      </c>
      <c r="G186">
        <v>6689040</v>
      </c>
      <c r="J186">
        <v>92550000000</v>
      </c>
      <c r="K186">
        <v>75190000000</v>
      </c>
      <c r="L186">
        <v>13836</v>
      </c>
      <c r="M186">
        <v>2022</v>
      </c>
      <c r="N186">
        <v>0.32802890000000001</v>
      </c>
      <c r="O186">
        <v>0.83299999999999996</v>
      </c>
      <c r="P186">
        <v>76.769000000000005</v>
      </c>
      <c r="Q186">
        <v>15.04216003</v>
      </c>
      <c r="R186">
        <v>11.64171812</v>
      </c>
      <c r="S186">
        <v>23114.809529999999</v>
      </c>
      <c r="T186">
        <v>40.9</v>
      </c>
      <c r="U186">
        <v>13.8</v>
      </c>
      <c r="V186">
        <v>29.1</v>
      </c>
      <c r="W186">
        <v>38.1</v>
      </c>
      <c r="X186">
        <v>39.799999999999997</v>
      </c>
      <c r="Y186">
        <v>63.8</v>
      </c>
      <c r="Z186">
        <v>15.8</v>
      </c>
      <c r="AA186">
        <v>3.7</v>
      </c>
      <c r="AB186">
        <v>3.9</v>
      </c>
      <c r="AC186">
        <v>27</v>
      </c>
      <c r="AD186">
        <v>25.6</v>
      </c>
      <c r="AE186">
        <v>146.9</v>
      </c>
      <c r="AF186">
        <v>0.7</v>
      </c>
      <c r="AG186">
        <v>127.2</v>
      </c>
      <c r="AH186">
        <v>65.400000000000006</v>
      </c>
      <c r="AI186">
        <v>62.8</v>
      </c>
      <c r="AJ186">
        <v>52.3</v>
      </c>
      <c r="AK186">
        <v>15.8</v>
      </c>
      <c r="AL186">
        <v>30.5</v>
      </c>
      <c r="AM186">
        <v>65.900000000000006</v>
      </c>
      <c r="AN186">
        <v>83.2</v>
      </c>
      <c r="AO186">
        <v>6.6059999999999999</v>
      </c>
    </row>
    <row r="187" spans="1:41" x14ac:dyDescent="0.3">
      <c r="A187" t="s">
        <v>570</v>
      </c>
      <c r="B187" t="s">
        <v>571</v>
      </c>
      <c r="C187" t="s">
        <v>572</v>
      </c>
      <c r="D187" t="s">
        <v>49</v>
      </c>
      <c r="E187" t="b">
        <v>1</v>
      </c>
      <c r="G187">
        <v>132779</v>
      </c>
      <c r="J187">
        <v>2200000000</v>
      </c>
      <c r="K187">
        <v>2140000000</v>
      </c>
      <c r="L187">
        <v>16554</v>
      </c>
      <c r="M187">
        <v>2018</v>
      </c>
      <c r="N187">
        <v>0.32125320000000002</v>
      </c>
      <c r="O187">
        <v>0.84799999999999998</v>
      </c>
      <c r="P187">
        <v>72.861999999999995</v>
      </c>
      <c r="Q187">
        <v>18.22489929</v>
      </c>
      <c r="R187">
        <v>11.199949999999999</v>
      </c>
      <c r="S187">
        <v>29195.037919999999</v>
      </c>
    </row>
    <row r="188" spans="1:41" x14ac:dyDescent="0.3">
      <c r="A188" t="s">
        <v>573</v>
      </c>
      <c r="B188" t="s">
        <v>574</v>
      </c>
      <c r="C188" t="s">
        <v>575</v>
      </c>
      <c r="D188" t="s">
        <v>49</v>
      </c>
      <c r="E188" t="b">
        <v>1</v>
      </c>
      <c r="G188">
        <v>8819790</v>
      </c>
      <c r="J188">
        <v>8390000000</v>
      </c>
      <c r="K188">
        <v>6410000000</v>
      </c>
      <c r="L188">
        <v>951</v>
      </c>
      <c r="M188">
        <v>2018</v>
      </c>
      <c r="N188">
        <v>0.35690176000000001</v>
      </c>
      <c r="O188">
        <v>0.46700000000000003</v>
      </c>
      <c r="P188">
        <v>61.786000000000001</v>
      </c>
      <c r="Q188">
        <v>9.0641245749999992</v>
      </c>
      <c r="R188">
        <v>3.5352976090000001</v>
      </c>
      <c r="S188">
        <v>1713.727772</v>
      </c>
      <c r="AO188">
        <v>2.9980000000000002</v>
      </c>
    </row>
    <row r="189" spans="1:41" x14ac:dyDescent="0.3">
      <c r="A189" t="s">
        <v>576</v>
      </c>
      <c r="C189" t="s">
        <v>577</v>
      </c>
      <c r="D189" t="s">
        <v>41</v>
      </c>
      <c r="E189" t="b">
        <v>1</v>
      </c>
      <c r="F189" t="s">
        <v>578</v>
      </c>
      <c r="G189">
        <v>5870750</v>
      </c>
      <c r="H189">
        <v>-10</v>
      </c>
      <c r="I189">
        <v>-15.8</v>
      </c>
      <c r="J189">
        <v>564770000000</v>
      </c>
      <c r="K189">
        <v>501430000000</v>
      </c>
      <c r="L189">
        <v>96201</v>
      </c>
      <c r="O189">
        <v>0.94599999999999995</v>
      </c>
      <c r="P189">
        <v>83.736000000000004</v>
      </c>
      <c r="Q189">
        <v>16.74227905</v>
      </c>
      <c r="R189">
        <v>11.989999770000001</v>
      </c>
      <c r="S189">
        <v>111239.2291</v>
      </c>
      <c r="T189">
        <v>85.3</v>
      </c>
      <c r="U189">
        <v>75.099999999999994</v>
      </c>
      <c r="V189">
        <v>80.900000000000006</v>
      </c>
      <c r="W189">
        <v>77.7</v>
      </c>
      <c r="X189">
        <v>54.3</v>
      </c>
      <c r="Y189">
        <v>103</v>
      </c>
      <c r="Z189">
        <v>22.4</v>
      </c>
      <c r="AA189">
        <v>3.1</v>
      </c>
      <c r="AB189">
        <v>3.2</v>
      </c>
      <c r="AC189">
        <v>32.200000000000003</v>
      </c>
      <c r="AD189">
        <v>31.4</v>
      </c>
      <c r="AE189">
        <v>149.69999999999999</v>
      </c>
      <c r="AF189">
        <v>0.7</v>
      </c>
      <c r="AG189">
        <v>156.69999999999999</v>
      </c>
      <c r="AH189">
        <v>108</v>
      </c>
      <c r="AI189">
        <v>77.400000000000006</v>
      </c>
      <c r="AJ189">
        <v>71.8</v>
      </c>
      <c r="AK189">
        <v>22.4</v>
      </c>
      <c r="AL189">
        <v>41</v>
      </c>
      <c r="AM189">
        <v>32.299999999999997</v>
      </c>
      <c r="AN189">
        <v>57.5</v>
      </c>
      <c r="AO189">
        <v>6.5650000000000004</v>
      </c>
    </row>
    <row r="190" spans="1:41" x14ac:dyDescent="0.3">
      <c r="A190" t="s">
        <v>579</v>
      </c>
      <c r="C190" t="s">
        <v>580</v>
      </c>
      <c r="D190" t="s">
        <v>60</v>
      </c>
      <c r="E190" t="b">
        <v>0</v>
      </c>
      <c r="G190">
        <v>43923</v>
      </c>
      <c r="K190">
        <v>1680000000</v>
      </c>
      <c r="L190">
        <v>38188</v>
      </c>
    </row>
    <row r="191" spans="1:41" x14ac:dyDescent="0.3">
      <c r="A191" t="s">
        <v>581</v>
      </c>
      <c r="B191" t="s">
        <v>582</v>
      </c>
      <c r="C191" t="s">
        <v>583</v>
      </c>
      <c r="D191" t="s">
        <v>45</v>
      </c>
      <c r="E191" t="b">
        <v>1</v>
      </c>
      <c r="G191">
        <v>5474880</v>
      </c>
      <c r="J191">
        <v>147030000000</v>
      </c>
      <c r="K191">
        <v>132910000000</v>
      </c>
      <c r="L191">
        <v>26856</v>
      </c>
      <c r="M191">
        <v>2022</v>
      </c>
      <c r="N191">
        <v>0.24078926</v>
      </c>
      <c r="O191">
        <v>0.88</v>
      </c>
      <c r="P191">
        <v>78.340999999999994</v>
      </c>
      <c r="Q191">
        <v>14.946849820000001</v>
      </c>
      <c r="R191">
        <v>13.103203969999999</v>
      </c>
      <c r="S191">
        <v>36792.988740000001</v>
      </c>
      <c r="T191">
        <v>46.7</v>
      </c>
      <c r="U191">
        <v>15.9</v>
      </c>
      <c r="V191">
        <v>33.299999999999997</v>
      </c>
      <c r="W191">
        <v>47.9</v>
      </c>
      <c r="X191">
        <v>38</v>
      </c>
      <c r="Y191">
        <v>81.3</v>
      </c>
      <c r="Z191">
        <v>13.2</v>
      </c>
      <c r="AA191">
        <v>3.6</v>
      </c>
      <c r="AB191">
        <v>3.8</v>
      </c>
      <c r="AC191">
        <v>28</v>
      </c>
      <c r="AD191">
        <v>26.5</v>
      </c>
      <c r="AE191">
        <v>98.3</v>
      </c>
      <c r="AF191">
        <v>1</v>
      </c>
      <c r="AG191">
        <v>159.4</v>
      </c>
      <c r="AH191">
        <v>83.3</v>
      </c>
      <c r="AI191">
        <v>69</v>
      </c>
      <c r="AJ191">
        <v>58.2</v>
      </c>
      <c r="AK191">
        <v>13.2</v>
      </c>
      <c r="AL191">
        <v>27.4</v>
      </c>
      <c r="AM191">
        <v>37.1</v>
      </c>
      <c r="AN191">
        <v>73.900000000000006</v>
      </c>
      <c r="AO191">
        <v>6.2210000000000001</v>
      </c>
    </row>
    <row r="192" spans="1:41" x14ac:dyDescent="0.3">
      <c r="A192" t="s">
        <v>584</v>
      </c>
      <c r="B192" t="s">
        <v>585</v>
      </c>
      <c r="C192" t="s">
        <v>586</v>
      </c>
      <c r="D192" t="s">
        <v>45</v>
      </c>
      <c r="E192" t="b">
        <v>1</v>
      </c>
      <c r="G192">
        <v>2117070</v>
      </c>
      <c r="J192">
        <v>75220000000</v>
      </c>
      <c r="K192">
        <v>69150000000</v>
      </c>
      <c r="L192">
        <v>35532</v>
      </c>
      <c r="M192">
        <v>2022</v>
      </c>
      <c r="N192">
        <v>0.24305065000000001</v>
      </c>
      <c r="O192">
        <v>0.93100000000000005</v>
      </c>
      <c r="P192">
        <v>81.602999999999994</v>
      </c>
      <c r="Q192">
        <v>17.477170940000001</v>
      </c>
      <c r="R192">
        <v>12.951201920000001</v>
      </c>
      <c r="S192">
        <v>46360.807789999999</v>
      </c>
      <c r="T192">
        <v>50.6</v>
      </c>
      <c r="U192">
        <v>20.6</v>
      </c>
      <c r="V192">
        <v>37.6</v>
      </c>
      <c r="W192">
        <v>49.5</v>
      </c>
      <c r="X192">
        <v>46.5</v>
      </c>
      <c r="Y192">
        <v>90</v>
      </c>
      <c r="Z192">
        <v>13.4</v>
      </c>
      <c r="AA192">
        <v>3.6</v>
      </c>
      <c r="AB192">
        <v>3.6</v>
      </c>
      <c r="AC192">
        <v>27.8</v>
      </c>
      <c r="AD192">
        <v>27.6</v>
      </c>
      <c r="AE192">
        <v>95.6</v>
      </c>
      <c r="AF192">
        <v>1</v>
      </c>
      <c r="AG192">
        <v>182.4</v>
      </c>
      <c r="AH192">
        <v>92.6</v>
      </c>
      <c r="AI192">
        <v>75.599999999999994</v>
      </c>
      <c r="AJ192">
        <v>66.3</v>
      </c>
      <c r="AK192">
        <v>13.4</v>
      </c>
      <c r="AL192">
        <v>25.2</v>
      </c>
      <c r="AM192">
        <v>22.2</v>
      </c>
      <c r="AN192">
        <v>80.599999999999994</v>
      </c>
      <c r="AO192">
        <v>6.7919999999999998</v>
      </c>
    </row>
    <row r="193" spans="1:41" x14ac:dyDescent="0.3">
      <c r="A193" t="s">
        <v>587</v>
      </c>
      <c r="B193" t="s">
        <v>588</v>
      </c>
      <c r="C193" t="s">
        <v>589</v>
      </c>
      <c r="D193" t="s">
        <v>52</v>
      </c>
      <c r="E193" t="b">
        <v>1</v>
      </c>
      <c r="G193">
        <v>838645</v>
      </c>
      <c r="J193">
        <v>1900000000</v>
      </c>
      <c r="K193">
        <v>1630000000</v>
      </c>
      <c r="L193">
        <v>2263</v>
      </c>
      <c r="M193">
        <v>2012</v>
      </c>
      <c r="N193">
        <v>0.37054925999999999</v>
      </c>
      <c r="O193">
        <v>0.58399999999999996</v>
      </c>
      <c r="P193">
        <v>70.528000000000006</v>
      </c>
      <c r="Q193">
        <v>11.31304207</v>
      </c>
      <c r="R193">
        <v>5.8796802000000001</v>
      </c>
      <c r="S193">
        <v>2777.2667489999999</v>
      </c>
    </row>
    <row r="194" spans="1:41" x14ac:dyDescent="0.3">
      <c r="A194" t="s">
        <v>590</v>
      </c>
      <c r="C194" t="s">
        <v>591</v>
      </c>
      <c r="D194" t="s">
        <v>49</v>
      </c>
      <c r="E194" t="b">
        <v>1</v>
      </c>
      <c r="G194">
        <v>19654700</v>
      </c>
      <c r="J194">
        <v>12990000000</v>
      </c>
      <c r="K194">
        <v>10970000000</v>
      </c>
      <c r="L194">
        <v>661</v>
      </c>
      <c r="O194">
        <v>0.40400000000000003</v>
      </c>
      <c r="P194">
        <v>58.816000000000003</v>
      </c>
      <c r="Q194">
        <v>7.4861651619999998</v>
      </c>
      <c r="R194">
        <v>1.8999999759999999</v>
      </c>
      <c r="S194">
        <v>1474.7384589999999</v>
      </c>
      <c r="AO194">
        <v>4.3470000000000004</v>
      </c>
    </row>
    <row r="195" spans="1:41" x14ac:dyDescent="0.3">
      <c r="A195" t="s">
        <v>592</v>
      </c>
      <c r="B195" t="s">
        <v>593</v>
      </c>
      <c r="C195" t="s">
        <v>594</v>
      </c>
      <c r="D195" t="s">
        <v>49</v>
      </c>
      <c r="E195" t="b">
        <v>1</v>
      </c>
      <c r="F195" t="s">
        <v>595</v>
      </c>
      <c r="G195">
        <v>64747300</v>
      </c>
      <c r="H195">
        <v>-49.8</v>
      </c>
      <c r="I195">
        <v>-31.9</v>
      </c>
      <c r="J195">
        <v>410340000000</v>
      </c>
      <c r="K195">
        <v>377780000000</v>
      </c>
      <c r="L195">
        <v>6338</v>
      </c>
      <c r="M195">
        <v>2014</v>
      </c>
      <c r="N195">
        <v>0.63025719999999996</v>
      </c>
      <c r="O195">
        <v>0.74099999999999999</v>
      </c>
      <c r="P195">
        <v>66.138999999999996</v>
      </c>
      <c r="Q195">
        <v>13.79325008</v>
      </c>
      <c r="R195">
        <v>11.60999966</v>
      </c>
      <c r="S195">
        <v>13693.988579999999</v>
      </c>
      <c r="T195">
        <v>32</v>
      </c>
      <c r="U195">
        <v>11.9</v>
      </c>
      <c r="V195">
        <v>23.3</v>
      </c>
      <c r="W195">
        <v>29.2</v>
      </c>
      <c r="X195">
        <v>29.7</v>
      </c>
      <c r="Y195">
        <v>115.2</v>
      </c>
      <c r="Z195">
        <v>3.3</v>
      </c>
      <c r="AA195">
        <v>10.4</v>
      </c>
      <c r="AB195">
        <v>10.8</v>
      </c>
      <c r="AC195">
        <v>9.6</v>
      </c>
      <c r="AD195">
        <v>9.1999999999999993</v>
      </c>
      <c r="AE195">
        <v>42.5</v>
      </c>
      <c r="AF195">
        <v>2.4</v>
      </c>
      <c r="AG195">
        <v>153.80000000000001</v>
      </c>
      <c r="AH195">
        <v>118.3</v>
      </c>
      <c r="AI195">
        <v>25.4</v>
      </c>
      <c r="AJ195">
        <v>64</v>
      </c>
      <c r="AK195">
        <v>3.3</v>
      </c>
      <c r="AL195">
        <v>38.5</v>
      </c>
      <c r="AM195">
        <v>56.7</v>
      </c>
      <c r="AN195">
        <v>95.4</v>
      </c>
      <c r="AO195">
        <v>5.2130000000000001</v>
      </c>
    </row>
    <row r="196" spans="1:41" x14ac:dyDescent="0.3">
      <c r="A196" t="s">
        <v>596</v>
      </c>
      <c r="B196" t="s">
        <v>597</v>
      </c>
      <c r="C196" t="s">
        <v>598</v>
      </c>
      <c r="D196" t="s">
        <v>41</v>
      </c>
      <c r="E196" t="b">
        <v>1</v>
      </c>
      <c r="F196" t="s">
        <v>599</v>
      </c>
      <c r="G196">
        <v>51667000</v>
      </c>
      <c r="H196">
        <v>-33.700000000000003</v>
      </c>
      <c r="I196">
        <v>-25</v>
      </c>
      <c r="J196">
        <v>1790000000000</v>
      </c>
      <c r="K196">
        <v>1840000000000</v>
      </c>
      <c r="L196">
        <v>34651</v>
      </c>
      <c r="M196">
        <v>2021</v>
      </c>
      <c r="N196">
        <v>0.32906574</v>
      </c>
      <c r="O196">
        <v>0.93700000000000006</v>
      </c>
      <c r="P196">
        <v>84.328999999999994</v>
      </c>
      <c r="Q196">
        <v>16.618640899999999</v>
      </c>
      <c r="R196">
        <v>12.722198690000001</v>
      </c>
      <c r="S196">
        <v>49726.453269999998</v>
      </c>
      <c r="T196">
        <v>62.4</v>
      </c>
      <c r="U196">
        <v>17.7</v>
      </c>
      <c r="V196">
        <v>42.9</v>
      </c>
      <c r="W196">
        <v>80.7</v>
      </c>
      <c r="X196">
        <v>35</v>
      </c>
      <c r="Y196">
        <v>119.6</v>
      </c>
      <c r="Z196">
        <v>23.4</v>
      </c>
      <c r="AA196">
        <v>1.1000000000000001</v>
      </c>
      <c r="AB196">
        <v>1.1000000000000001</v>
      </c>
      <c r="AC196">
        <v>88.1</v>
      </c>
      <c r="AD196">
        <v>93.4</v>
      </c>
      <c r="AE196">
        <v>173.5</v>
      </c>
      <c r="AF196">
        <v>0.6</v>
      </c>
      <c r="AG196">
        <v>153.5</v>
      </c>
      <c r="AH196">
        <v>122.2</v>
      </c>
      <c r="AI196">
        <v>73.099999999999994</v>
      </c>
      <c r="AJ196">
        <v>82.8</v>
      </c>
      <c r="AK196">
        <v>23.4</v>
      </c>
      <c r="AL196">
        <v>39.700000000000003</v>
      </c>
      <c r="AM196">
        <v>57.5</v>
      </c>
      <c r="AN196">
        <v>68.5</v>
      </c>
      <c r="AO196">
        <v>6.0380000000000003</v>
      </c>
    </row>
    <row r="197" spans="1:41" x14ac:dyDescent="0.3">
      <c r="A197" t="s">
        <v>600</v>
      </c>
      <c r="B197" t="s">
        <v>601</v>
      </c>
      <c r="C197" t="s">
        <v>602</v>
      </c>
      <c r="D197" t="s">
        <v>49</v>
      </c>
      <c r="E197" t="b">
        <v>1</v>
      </c>
      <c r="G197">
        <v>12188800</v>
      </c>
      <c r="J197">
        <v>4000000000</v>
      </c>
      <c r="K197">
        <v>4630000000</v>
      </c>
      <c r="L197">
        <v>328</v>
      </c>
      <c r="M197">
        <v>2016</v>
      </c>
      <c r="N197">
        <v>0.44047811999999997</v>
      </c>
      <c r="O197">
        <v>0.38800000000000001</v>
      </c>
      <c r="P197">
        <v>57.616999999999997</v>
      </c>
      <c r="Q197">
        <v>5.6347701409999997</v>
      </c>
      <c r="R197">
        <v>5.7300000190000002</v>
      </c>
      <c r="S197">
        <v>688.34727710000004</v>
      </c>
    </row>
    <row r="198" spans="1:41" x14ac:dyDescent="0.3">
      <c r="A198" t="s">
        <v>603</v>
      </c>
      <c r="B198" t="s">
        <v>604</v>
      </c>
      <c r="C198" t="s">
        <v>605</v>
      </c>
      <c r="D198" t="s">
        <v>45</v>
      </c>
      <c r="E198" t="b">
        <v>1</v>
      </c>
      <c r="G198">
        <v>47890000</v>
      </c>
      <c r="J198">
        <v>1800000000000</v>
      </c>
      <c r="K198">
        <v>1620000000000</v>
      </c>
      <c r="L198">
        <v>37576</v>
      </c>
      <c r="M198">
        <v>2022</v>
      </c>
      <c r="N198">
        <v>0.33579419999999999</v>
      </c>
      <c r="O198">
        <v>0.91800000000000004</v>
      </c>
      <c r="P198">
        <v>83.67</v>
      </c>
      <c r="Q198">
        <v>17.830310820000001</v>
      </c>
      <c r="R198">
        <v>10.75612495</v>
      </c>
      <c r="S198">
        <v>46008.442210000001</v>
      </c>
      <c r="T198">
        <v>48.6</v>
      </c>
      <c r="U198">
        <v>23.5</v>
      </c>
      <c r="V198">
        <v>37.700000000000003</v>
      </c>
      <c r="W198">
        <v>47.9</v>
      </c>
      <c r="X198">
        <v>48.9</v>
      </c>
      <c r="Y198">
        <v>107.2</v>
      </c>
      <c r="Z198">
        <v>8.6</v>
      </c>
      <c r="AA198">
        <v>5.0999999999999996</v>
      </c>
      <c r="AB198">
        <v>6.2</v>
      </c>
      <c r="AC198">
        <v>19.600000000000001</v>
      </c>
      <c r="AD198">
        <v>16.100000000000001</v>
      </c>
      <c r="AE198">
        <v>60.2</v>
      </c>
      <c r="AF198">
        <v>1.7</v>
      </c>
      <c r="AG198">
        <v>187.2</v>
      </c>
      <c r="AH198">
        <v>110.7</v>
      </c>
      <c r="AI198">
        <v>62.8</v>
      </c>
      <c r="AJ198">
        <v>77.3</v>
      </c>
      <c r="AK198">
        <v>8.6</v>
      </c>
      <c r="AL198">
        <v>26.7</v>
      </c>
      <c r="AM198">
        <v>35.299999999999997</v>
      </c>
      <c r="AN198">
        <v>92.7</v>
      </c>
      <c r="AO198">
        <v>6.4660000000000002</v>
      </c>
    </row>
    <row r="199" spans="1:41" x14ac:dyDescent="0.3">
      <c r="A199" t="s">
        <v>606</v>
      </c>
      <c r="B199" t="s">
        <v>607</v>
      </c>
      <c r="C199" t="s">
        <v>608</v>
      </c>
      <c r="D199" t="s">
        <v>41</v>
      </c>
      <c r="E199" t="b">
        <v>1</v>
      </c>
      <c r="G199">
        <v>23229500</v>
      </c>
      <c r="K199">
        <v>84360000000</v>
      </c>
      <c r="L199">
        <v>3632</v>
      </c>
      <c r="M199">
        <v>2019</v>
      </c>
      <c r="N199">
        <v>0.37663775999999999</v>
      </c>
      <c r="O199">
        <v>0.77600000000000002</v>
      </c>
      <c r="P199">
        <v>77.483000000000004</v>
      </c>
      <c r="Q199">
        <v>13.12815666</v>
      </c>
      <c r="R199">
        <v>10.77000046</v>
      </c>
      <c r="S199">
        <v>12615.60045</v>
      </c>
      <c r="T199">
        <v>32.5</v>
      </c>
      <c r="U199">
        <v>6.3</v>
      </c>
      <c r="V199">
        <v>21.1</v>
      </c>
      <c r="W199">
        <v>48.5</v>
      </c>
      <c r="X199">
        <v>22.4</v>
      </c>
      <c r="Y199">
        <v>20.6</v>
      </c>
      <c r="AG199">
        <v>82.8</v>
      </c>
      <c r="AH199">
        <v>20.9</v>
      </c>
      <c r="AI199">
        <v>57.7</v>
      </c>
      <c r="AJ199">
        <v>71.400000000000006</v>
      </c>
      <c r="AK199">
        <v>35.299999999999997</v>
      </c>
      <c r="AL199">
        <v>54.2</v>
      </c>
      <c r="AM199">
        <v>58</v>
      </c>
      <c r="AN199">
        <v>64.099999999999994</v>
      </c>
      <c r="AO199">
        <v>3.891</v>
      </c>
    </row>
    <row r="200" spans="1:41" x14ac:dyDescent="0.3">
      <c r="A200" t="s">
        <v>609</v>
      </c>
      <c r="B200" t="s">
        <v>610</v>
      </c>
      <c r="C200" t="s">
        <v>611</v>
      </c>
      <c r="D200" t="s">
        <v>49</v>
      </c>
      <c r="E200" t="b">
        <v>1</v>
      </c>
      <c r="G200">
        <v>51662100</v>
      </c>
      <c r="J200">
        <v>31510000000</v>
      </c>
      <c r="K200">
        <v>34020000000</v>
      </c>
      <c r="L200">
        <v>610</v>
      </c>
      <c r="M200">
        <v>2014</v>
      </c>
      <c r="N200">
        <v>0.34242942999999998</v>
      </c>
      <c r="O200">
        <v>0.51100000000000001</v>
      </c>
      <c r="P200">
        <v>66.331000000000003</v>
      </c>
      <c r="Q200">
        <v>8.6203718780000003</v>
      </c>
      <c r="R200">
        <v>3.9620000000000002</v>
      </c>
      <c r="S200">
        <v>2810.3120119999999</v>
      </c>
    </row>
    <row r="201" spans="1:41" x14ac:dyDescent="0.3">
      <c r="A201" t="s">
        <v>612</v>
      </c>
      <c r="B201" t="s">
        <v>613</v>
      </c>
      <c r="C201" t="s">
        <v>614</v>
      </c>
      <c r="D201" t="s">
        <v>66</v>
      </c>
      <c r="E201" t="b">
        <v>1</v>
      </c>
      <c r="G201">
        <v>639850</v>
      </c>
      <c r="J201">
        <v>4510000000</v>
      </c>
      <c r="K201">
        <v>3760000000</v>
      </c>
      <c r="L201">
        <v>7042</v>
      </c>
      <c r="M201">
        <v>2022</v>
      </c>
      <c r="N201">
        <v>0.39179897000000002</v>
      </c>
      <c r="O201">
        <v>0.72199999999999998</v>
      </c>
      <c r="P201">
        <v>73.631</v>
      </c>
      <c r="Q201">
        <v>10.95909977</v>
      </c>
      <c r="R201">
        <v>8.4297595820000009</v>
      </c>
      <c r="S201">
        <v>17344.386910000001</v>
      </c>
    </row>
    <row r="202" spans="1:41" x14ac:dyDescent="0.3">
      <c r="A202" t="s">
        <v>615</v>
      </c>
      <c r="B202" t="s">
        <v>616</v>
      </c>
      <c r="C202" t="s">
        <v>617</v>
      </c>
      <c r="D202" t="s">
        <v>45</v>
      </c>
      <c r="E202" t="b">
        <v>1</v>
      </c>
      <c r="F202" t="s">
        <v>618</v>
      </c>
      <c r="G202">
        <v>10656600</v>
      </c>
      <c r="H202">
        <v>21.8</v>
      </c>
      <c r="I202">
        <v>39</v>
      </c>
      <c r="J202">
        <v>620300000000</v>
      </c>
      <c r="K202">
        <v>584960000000</v>
      </c>
      <c r="L202">
        <v>58208</v>
      </c>
      <c r="M202">
        <v>2022</v>
      </c>
      <c r="N202">
        <v>0.31608360000000002</v>
      </c>
      <c r="O202">
        <v>0.95899999999999996</v>
      </c>
      <c r="P202">
        <v>83.262</v>
      </c>
      <c r="Q202">
        <v>18.991470339999999</v>
      </c>
      <c r="R202">
        <v>12.740325739999999</v>
      </c>
      <c r="S202">
        <v>66102.085949999993</v>
      </c>
      <c r="T202">
        <v>62.8</v>
      </c>
      <c r="U202">
        <v>21.8</v>
      </c>
      <c r="V202">
        <v>44.9</v>
      </c>
      <c r="W202">
        <v>63.5</v>
      </c>
      <c r="X202">
        <v>62.6</v>
      </c>
      <c r="Y202">
        <v>141.1</v>
      </c>
      <c r="Z202">
        <v>8.1999999999999993</v>
      </c>
      <c r="AA202">
        <v>3.2</v>
      </c>
      <c r="AB202">
        <v>3.8</v>
      </c>
      <c r="AC202">
        <v>31.7</v>
      </c>
      <c r="AD202">
        <v>26.5</v>
      </c>
      <c r="AE202">
        <v>62.5</v>
      </c>
      <c r="AF202">
        <v>1.6</v>
      </c>
      <c r="AG202">
        <v>192.2</v>
      </c>
      <c r="AH202">
        <v>144.69999999999999</v>
      </c>
      <c r="AI202">
        <v>51.9</v>
      </c>
      <c r="AJ202">
        <v>68.599999999999994</v>
      </c>
      <c r="AK202">
        <v>8.1999999999999993</v>
      </c>
      <c r="AL202">
        <v>28.9</v>
      </c>
      <c r="AM202">
        <v>17.600000000000001</v>
      </c>
      <c r="AN202">
        <v>64.7</v>
      </c>
      <c r="AO202">
        <v>7.3449999999999998</v>
      </c>
    </row>
    <row r="203" spans="1:41" x14ac:dyDescent="0.3">
      <c r="A203" t="s">
        <v>619</v>
      </c>
      <c r="B203" t="s">
        <v>620</v>
      </c>
      <c r="C203" t="s">
        <v>621</v>
      </c>
      <c r="D203" t="s">
        <v>45</v>
      </c>
      <c r="E203" t="b">
        <v>1</v>
      </c>
      <c r="F203" t="s">
        <v>622</v>
      </c>
      <c r="G203">
        <v>8967410</v>
      </c>
      <c r="H203">
        <v>49.6</v>
      </c>
      <c r="I203">
        <v>54.7</v>
      </c>
      <c r="J203">
        <v>947130000000</v>
      </c>
      <c r="K203">
        <v>894420000000</v>
      </c>
      <c r="L203">
        <v>105619</v>
      </c>
      <c r="M203">
        <v>2021</v>
      </c>
      <c r="N203">
        <v>0.33824313</v>
      </c>
      <c r="O203">
        <v>0.97</v>
      </c>
      <c r="P203">
        <v>83.953999999999994</v>
      </c>
      <c r="Q203">
        <v>16.667530060000001</v>
      </c>
      <c r="R203">
        <v>13.94912109</v>
      </c>
      <c r="S203">
        <v>81948.901769999997</v>
      </c>
      <c r="T203">
        <v>106.8</v>
      </c>
      <c r="U203">
        <v>50.6</v>
      </c>
      <c r="V203">
        <v>82.3</v>
      </c>
      <c r="W203">
        <v>111.9</v>
      </c>
      <c r="X203">
        <v>100.3</v>
      </c>
      <c r="Y203">
        <v>177.8</v>
      </c>
      <c r="Z203">
        <v>10.7</v>
      </c>
      <c r="AA203">
        <v>2.5</v>
      </c>
      <c r="AB203">
        <v>2.6</v>
      </c>
      <c r="AC203">
        <v>39.6</v>
      </c>
      <c r="AD203">
        <v>38.1</v>
      </c>
      <c r="AE203">
        <v>67.7</v>
      </c>
      <c r="AF203">
        <v>1.5</v>
      </c>
      <c r="AG203">
        <v>210.9</v>
      </c>
      <c r="AH203">
        <v>183.5</v>
      </c>
      <c r="AI203">
        <v>73.3</v>
      </c>
      <c r="AJ203">
        <v>70.8</v>
      </c>
      <c r="AK203">
        <v>10.7</v>
      </c>
      <c r="AL203">
        <v>34</v>
      </c>
      <c r="AM203">
        <v>24</v>
      </c>
      <c r="AN203">
        <v>80.599999999999994</v>
      </c>
      <c r="AO203">
        <v>6.9349999999999996</v>
      </c>
    </row>
    <row r="204" spans="1:41" x14ac:dyDescent="0.3">
      <c r="A204" t="s">
        <v>623</v>
      </c>
      <c r="B204" t="s">
        <v>624</v>
      </c>
      <c r="C204" t="s">
        <v>625</v>
      </c>
      <c r="D204" t="s">
        <v>41</v>
      </c>
      <c r="E204" t="b">
        <v>1</v>
      </c>
      <c r="G204">
        <v>25620400</v>
      </c>
      <c r="K204">
        <v>29030000000</v>
      </c>
      <c r="L204">
        <v>1133</v>
      </c>
      <c r="M204">
        <v>2022</v>
      </c>
      <c r="N204">
        <v>0.26628074000000002</v>
      </c>
      <c r="O204">
        <v>0.56399999999999995</v>
      </c>
      <c r="P204">
        <v>72.12</v>
      </c>
      <c r="Q204">
        <v>7.4187545269999999</v>
      </c>
      <c r="R204">
        <v>5.9355200620000002</v>
      </c>
      <c r="S204">
        <v>3917.702385</v>
      </c>
      <c r="T204">
        <v>23.8</v>
      </c>
      <c r="U204">
        <v>3.5</v>
      </c>
      <c r="V204">
        <v>15</v>
      </c>
      <c r="W204">
        <v>25.6</v>
      </c>
      <c r="X204">
        <v>18</v>
      </c>
      <c r="Y204">
        <v>6.4</v>
      </c>
    </row>
    <row r="205" spans="1:41" x14ac:dyDescent="0.3">
      <c r="A205" t="s">
        <v>626</v>
      </c>
      <c r="B205" t="s">
        <v>627</v>
      </c>
      <c r="C205" t="s">
        <v>628</v>
      </c>
      <c r="D205" t="s">
        <v>41</v>
      </c>
      <c r="E205" t="b">
        <v>0</v>
      </c>
      <c r="F205" t="s">
        <v>629</v>
      </c>
      <c r="G205">
        <v>23112800</v>
      </c>
      <c r="H205">
        <v>-55.7</v>
      </c>
      <c r="I205">
        <v>-55.2</v>
      </c>
      <c r="J205">
        <v>804890000000</v>
      </c>
      <c r="L205">
        <v>34824</v>
      </c>
      <c r="M205">
        <v>2021</v>
      </c>
      <c r="N205">
        <v>0.31566375000000002</v>
      </c>
      <c r="T205">
        <v>49.4</v>
      </c>
      <c r="U205">
        <v>14.5</v>
      </c>
      <c r="V205">
        <v>34.200000000000003</v>
      </c>
      <c r="W205">
        <v>64.099999999999994</v>
      </c>
      <c r="X205">
        <v>26.8</v>
      </c>
      <c r="Y205">
        <v>105.9</v>
      </c>
      <c r="Z205">
        <v>23.5</v>
      </c>
      <c r="AA205">
        <v>1.3</v>
      </c>
      <c r="AB205">
        <v>1.4</v>
      </c>
      <c r="AC205">
        <v>79.400000000000006</v>
      </c>
      <c r="AD205">
        <v>71.5</v>
      </c>
      <c r="AE205">
        <v>144.69999999999999</v>
      </c>
      <c r="AF205">
        <v>0.7</v>
      </c>
      <c r="AG205">
        <v>160.19999999999999</v>
      </c>
      <c r="AH205">
        <v>108.2</v>
      </c>
      <c r="AI205">
        <v>83</v>
      </c>
      <c r="AJ205">
        <v>87</v>
      </c>
      <c r="AK205">
        <v>23.5</v>
      </c>
      <c r="AL205">
        <v>32.4</v>
      </c>
      <c r="AM205">
        <v>64.099999999999994</v>
      </c>
      <c r="AN205">
        <v>83.9</v>
      </c>
      <c r="AO205">
        <v>6.6689999999999996</v>
      </c>
    </row>
    <row r="206" spans="1:41" x14ac:dyDescent="0.3">
      <c r="A206" t="s">
        <v>630</v>
      </c>
      <c r="B206" t="s">
        <v>631</v>
      </c>
      <c r="C206" t="s">
        <v>632</v>
      </c>
      <c r="D206" t="s">
        <v>41</v>
      </c>
      <c r="E206" t="b">
        <v>1</v>
      </c>
      <c r="G206">
        <v>10786700</v>
      </c>
      <c r="J206">
        <v>14840000000</v>
      </c>
      <c r="K206">
        <v>12060000000</v>
      </c>
      <c r="L206">
        <v>1375</v>
      </c>
      <c r="M206">
        <v>2015</v>
      </c>
      <c r="N206">
        <v>0.33995535999999998</v>
      </c>
      <c r="O206">
        <v>0.69099999999999995</v>
      </c>
      <c r="P206">
        <v>71.790000000000006</v>
      </c>
      <c r="Q206">
        <v>10.84980801</v>
      </c>
      <c r="R206">
        <v>11.27094825</v>
      </c>
      <c r="S206">
        <v>5746.5689689999999</v>
      </c>
      <c r="T206">
        <v>26.2</v>
      </c>
      <c r="U206">
        <v>8.6999999999999993</v>
      </c>
      <c r="V206">
        <v>18.600000000000001</v>
      </c>
      <c r="W206">
        <v>31.5</v>
      </c>
      <c r="X206">
        <v>21.5</v>
      </c>
      <c r="Y206">
        <v>25.7</v>
      </c>
      <c r="AO206">
        <v>5.4109999999999996</v>
      </c>
    </row>
    <row r="207" spans="1:41" x14ac:dyDescent="0.3">
      <c r="A207" t="s">
        <v>633</v>
      </c>
      <c r="B207" t="s">
        <v>634</v>
      </c>
      <c r="C207" t="s">
        <v>635</v>
      </c>
      <c r="D207" t="s">
        <v>49</v>
      </c>
      <c r="E207" t="b">
        <v>1</v>
      </c>
      <c r="G207">
        <v>70545900</v>
      </c>
      <c r="J207">
        <v>85980000000</v>
      </c>
      <c r="L207">
        <v>1219</v>
      </c>
      <c r="M207">
        <v>2018</v>
      </c>
      <c r="N207">
        <v>0.4049123</v>
      </c>
      <c r="O207">
        <v>0.55500000000000005</v>
      </c>
      <c r="P207">
        <v>66.995000000000005</v>
      </c>
      <c r="Q207">
        <v>8.5857400889999997</v>
      </c>
      <c r="R207">
        <v>6.0653500559999998</v>
      </c>
      <c r="S207">
        <v>3514.632861</v>
      </c>
      <c r="T207">
        <v>24.1</v>
      </c>
      <c r="U207">
        <v>8.1</v>
      </c>
      <c r="V207">
        <v>17.100000000000001</v>
      </c>
      <c r="W207">
        <v>24.5</v>
      </c>
      <c r="X207">
        <v>17.899999999999999</v>
      </c>
      <c r="Y207">
        <v>35.6</v>
      </c>
      <c r="AO207">
        <v>3.8</v>
      </c>
    </row>
    <row r="208" spans="1:41" x14ac:dyDescent="0.3">
      <c r="A208" t="s">
        <v>636</v>
      </c>
      <c r="B208" t="s">
        <v>637</v>
      </c>
      <c r="C208" t="s">
        <v>638</v>
      </c>
      <c r="D208" t="s">
        <v>41</v>
      </c>
      <c r="E208" t="b">
        <v>1</v>
      </c>
      <c r="F208" t="s">
        <v>639</v>
      </c>
      <c r="G208">
        <v>71619900</v>
      </c>
      <c r="H208">
        <v>-30.7</v>
      </c>
      <c r="I208">
        <v>-5.3</v>
      </c>
      <c r="J208">
        <v>546220000000</v>
      </c>
      <c r="K208">
        <v>514950000000</v>
      </c>
      <c r="L208">
        <v>7627</v>
      </c>
      <c r="M208">
        <v>2023</v>
      </c>
      <c r="N208">
        <v>0.33494889999999999</v>
      </c>
      <c r="O208">
        <v>0.79800000000000004</v>
      </c>
      <c r="P208">
        <v>76.412000000000006</v>
      </c>
      <c r="Q208">
        <v>15.35883492</v>
      </c>
      <c r="R208">
        <v>9.0399999619999996</v>
      </c>
      <c r="S208">
        <v>20569.901760000001</v>
      </c>
      <c r="T208">
        <v>35.299999999999997</v>
      </c>
      <c r="U208">
        <v>12.9</v>
      </c>
      <c r="V208">
        <v>25.6</v>
      </c>
      <c r="W208">
        <v>41.5</v>
      </c>
      <c r="X208">
        <v>22</v>
      </c>
      <c r="Y208">
        <v>51.9</v>
      </c>
      <c r="Z208">
        <v>23.8</v>
      </c>
      <c r="AA208">
        <v>3.1</v>
      </c>
      <c r="AB208">
        <v>3.1</v>
      </c>
      <c r="AC208">
        <v>32.700000000000003</v>
      </c>
      <c r="AD208">
        <v>32</v>
      </c>
      <c r="AE208">
        <v>199</v>
      </c>
      <c r="AF208">
        <v>0.5</v>
      </c>
      <c r="AG208">
        <v>110.2</v>
      </c>
      <c r="AH208">
        <v>53.3</v>
      </c>
      <c r="AI208">
        <v>63.2</v>
      </c>
      <c r="AJ208">
        <v>77.3</v>
      </c>
      <c r="AK208">
        <v>23.8</v>
      </c>
      <c r="AL208">
        <v>38.1</v>
      </c>
      <c r="AM208">
        <v>75.599999999999994</v>
      </c>
      <c r="AN208">
        <v>69.3</v>
      </c>
      <c r="AO208">
        <v>6.2220000000000004</v>
      </c>
    </row>
    <row r="209" spans="1:41" x14ac:dyDescent="0.3">
      <c r="A209" t="s">
        <v>640</v>
      </c>
      <c r="B209" t="s">
        <v>641</v>
      </c>
      <c r="C209" t="s">
        <v>642</v>
      </c>
      <c r="D209" t="s">
        <v>41</v>
      </c>
      <c r="E209" t="b">
        <v>1</v>
      </c>
      <c r="G209">
        <v>1418520</v>
      </c>
      <c r="J209">
        <v>2120000000</v>
      </c>
      <c r="K209">
        <v>2080000000</v>
      </c>
      <c r="L209">
        <v>1491</v>
      </c>
      <c r="M209">
        <v>2014</v>
      </c>
      <c r="N209">
        <v>0.28652927</v>
      </c>
      <c r="O209">
        <v>0.63400000000000001</v>
      </c>
      <c r="P209">
        <v>67.688999999999993</v>
      </c>
      <c r="Q209">
        <v>13.25306303</v>
      </c>
      <c r="R209">
        <v>6.2265805509999996</v>
      </c>
      <c r="S209">
        <v>5434.5946919999997</v>
      </c>
    </row>
    <row r="210" spans="1:41" x14ac:dyDescent="0.3">
      <c r="A210" t="s">
        <v>643</v>
      </c>
      <c r="B210" t="s">
        <v>644</v>
      </c>
      <c r="C210" t="s">
        <v>645</v>
      </c>
      <c r="D210" t="s">
        <v>49</v>
      </c>
      <c r="E210" t="b">
        <v>1</v>
      </c>
      <c r="G210">
        <v>9721610</v>
      </c>
      <c r="J210">
        <v>10020000000</v>
      </c>
      <c r="K210">
        <v>9280000000</v>
      </c>
      <c r="L210">
        <v>1031</v>
      </c>
      <c r="M210">
        <v>2021</v>
      </c>
      <c r="N210">
        <v>0.37858006</v>
      </c>
      <c r="O210">
        <v>0.57099999999999995</v>
      </c>
      <c r="P210">
        <v>62.738999999999997</v>
      </c>
      <c r="Q210">
        <v>13.096423870000001</v>
      </c>
      <c r="R210">
        <v>5.8611146190000003</v>
      </c>
      <c r="S210">
        <v>2855.9638279999999</v>
      </c>
      <c r="AO210">
        <v>4.3150000000000004</v>
      </c>
    </row>
    <row r="211" spans="1:41" x14ac:dyDescent="0.3">
      <c r="A211" t="s">
        <v>646</v>
      </c>
      <c r="C211" t="s">
        <v>647</v>
      </c>
      <c r="D211" t="s">
        <v>52</v>
      </c>
      <c r="E211" t="b">
        <v>0</v>
      </c>
    </row>
    <row r="212" spans="1:41" x14ac:dyDescent="0.3">
      <c r="A212" t="s">
        <v>648</v>
      </c>
      <c r="B212" t="s">
        <v>649</v>
      </c>
      <c r="C212" t="s">
        <v>650</v>
      </c>
      <c r="D212" t="s">
        <v>52</v>
      </c>
      <c r="E212" t="b">
        <v>1</v>
      </c>
      <c r="G212">
        <v>103742</v>
      </c>
      <c r="J212">
        <v>568000000</v>
      </c>
      <c r="K212">
        <v>508290000</v>
      </c>
      <c r="L212">
        <v>5475</v>
      </c>
      <c r="M212">
        <v>2021</v>
      </c>
      <c r="N212">
        <v>0.27095764999999999</v>
      </c>
      <c r="O212">
        <v>0.76900000000000002</v>
      </c>
      <c r="P212">
        <v>72.894999999999996</v>
      </c>
      <c r="Q212">
        <v>17.786930179999999</v>
      </c>
      <c r="R212">
        <v>10.914948949999999</v>
      </c>
      <c r="S212">
        <v>7438.2100920000003</v>
      </c>
    </row>
    <row r="213" spans="1:41" x14ac:dyDescent="0.3">
      <c r="A213" t="s">
        <v>651</v>
      </c>
      <c r="C213" t="s">
        <v>652</v>
      </c>
      <c r="D213" t="s">
        <v>60</v>
      </c>
      <c r="E213" t="b">
        <v>1</v>
      </c>
      <c r="G213">
        <v>1511160</v>
      </c>
      <c r="J213">
        <v>26470000000</v>
      </c>
      <c r="K213">
        <v>25490000000</v>
      </c>
      <c r="L213">
        <v>17514</v>
      </c>
      <c r="O213">
        <v>0.80700000000000005</v>
      </c>
      <c r="P213">
        <v>73.489999999999995</v>
      </c>
      <c r="Q213">
        <v>14.23764336</v>
      </c>
      <c r="R213">
        <v>10.792750359999999</v>
      </c>
      <c r="S213">
        <v>27000.145110000001</v>
      </c>
      <c r="T213">
        <v>49.4</v>
      </c>
      <c r="U213">
        <v>13.7</v>
      </c>
      <c r="V213">
        <v>33.9</v>
      </c>
      <c r="W213">
        <v>53.8</v>
      </c>
      <c r="X213">
        <v>42.8</v>
      </c>
      <c r="Y213">
        <v>51.2</v>
      </c>
      <c r="AO213">
        <v>5.9050000000000002</v>
      </c>
    </row>
    <row r="214" spans="1:41" x14ac:dyDescent="0.3">
      <c r="A214" t="s">
        <v>653</v>
      </c>
      <c r="B214" t="s">
        <v>654</v>
      </c>
      <c r="C214" t="s">
        <v>655</v>
      </c>
      <c r="D214" t="s">
        <v>49</v>
      </c>
      <c r="E214" t="b">
        <v>1</v>
      </c>
      <c r="G214">
        <v>12348600</v>
      </c>
      <c r="J214">
        <v>56290000000</v>
      </c>
      <c r="K214">
        <v>48540000000</v>
      </c>
      <c r="L214">
        <v>4558</v>
      </c>
      <c r="M214">
        <v>2021</v>
      </c>
      <c r="N214">
        <v>0.33716425</v>
      </c>
      <c r="O214">
        <v>0.746</v>
      </c>
      <c r="P214">
        <v>76.507999999999996</v>
      </c>
      <c r="Q214">
        <v>14.673498560000001</v>
      </c>
      <c r="R214">
        <v>7.5949201579999999</v>
      </c>
      <c r="S214">
        <v>12011.387849999999</v>
      </c>
      <c r="T214">
        <v>27.5</v>
      </c>
      <c r="U214">
        <v>5.3</v>
      </c>
      <c r="V214">
        <v>17.8</v>
      </c>
      <c r="W214">
        <v>33.200000000000003</v>
      </c>
      <c r="X214">
        <v>16.399999999999999</v>
      </c>
      <c r="Y214">
        <v>37.6</v>
      </c>
      <c r="Z214">
        <v>12</v>
      </c>
      <c r="AA214">
        <v>5</v>
      </c>
      <c r="AB214">
        <v>5.9</v>
      </c>
      <c r="AC214">
        <v>19.899999999999999</v>
      </c>
      <c r="AD214">
        <v>17</v>
      </c>
      <c r="AE214">
        <v>152.19999999999999</v>
      </c>
      <c r="AF214">
        <v>0.7</v>
      </c>
      <c r="AG214">
        <v>119</v>
      </c>
      <c r="AH214">
        <v>38.200000000000003</v>
      </c>
      <c r="AI214">
        <v>55</v>
      </c>
      <c r="AJ214">
        <v>57.2</v>
      </c>
      <c r="AK214">
        <v>12</v>
      </c>
      <c r="AL214">
        <v>33.700000000000003</v>
      </c>
      <c r="AM214">
        <v>69.7</v>
      </c>
      <c r="AN214">
        <v>94.1</v>
      </c>
      <c r="AO214">
        <v>4.5519999999999996</v>
      </c>
    </row>
    <row r="215" spans="1:41" x14ac:dyDescent="0.3">
      <c r="A215" t="s">
        <v>656</v>
      </c>
      <c r="B215" t="s">
        <v>657</v>
      </c>
      <c r="C215" t="s">
        <v>658</v>
      </c>
      <c r="D215" t="s">
        <v>41</v>
      </c>
      <c r="E215" t="b">
        <v>1</v>
      </c>
      <c r="F215" t="s">
        <v>659</v>
      </c>
      <c r="G215">
        <v>87685400</v>
      </c>
      <c r="H215">
        <v>-6.9</v>
      </c>
      <c r="I215">
        <v>26</v>
      </c>
      <c r="J215">
        <v>1440000000000</v>
      </c>
      <c r="K215">
        <v>1120000000000</v>
      </c>
      <c r="L215">
        <v>16393</v>
      </c>
      <c r="M215">
        <v>2022</v>
      </c>
      <c r="N215">
        <v>0.44467676</v>
      </c>
      <c r="O215">
        <v>0.85299999999999998</v>
      </c>
      <c r="P215">
        <v>77.156000000000006</v>
      </c>
      <c r="Q215">
        <v>19.8307991</v>
      </c>
      <c r="R215">
        <v>8.9862436599999995</v>
      </c>
      <c r="S215">
        <v>34506.980649999998</v>
      </c>
      <c r="T215">
        <v>38.200000000000003</v>
      </c>
      <c r="U215">
        <v>14.6</v>
      </c>
      <c r="V215">
        <v>27.9</v>
      </c>
      <c r="W215">
        <v>38.200000000000003</v>
      </c>
      <c r="X215">
        <v>34.700000000000003</v>
      </c>
      <c r="Y215">
        <v>58.8</v>
      </c>
      <c r="Z215">
        <v>9.6999999999999993</v>
      </c>
      <c r="AA215">
        <v>7</v>
      </c>
      <c r="AB215">
        <v>8.1</v>
      </c>
      <c r="AC215">
        <v>14.4</v>
      </c>
      <c r="AD215">
        <v>12.4</v>
      </c>
      <c r="AE215">
        <v>412.3</v>
      </c>
      <c r="AF215">
        <v>0.2</v>
      </c>
      <c r="AG215">
        <v>134</v>
      </c>
      <c r="AH215">
        <v>60.4</v>
      </c>
      <c r="AI215">
        <v>58.6</v>
      </c>
      <c r="AJ215">
        <v>71.3</v>
      </c>
      <c r="AK215">
        <v>9.6999999999999993</v>
      </c>
      <c r="AL215">
        <v>43.7</v>
      </c>
      <c r="AM215">
        <v>64.099999999999994</v>
      </c>
      <c r="AN215">
        <v>90.2</v>
      </c>
      <c r="AO215">
        <v>5.2619999999999996</v>
      </c>
    </row>
    <row r="216" spans="1:41" x14ac:dyDescent="0.3">
      <c r="A216" t="s">
        <v>660</v>
      </c>
      <c r="C216" t="s">
        <v>661</v>
      </c>
      <c r="D216" t="s">
        <v>41</v>
      </c>
      <c r="E216" t="b">
        <v>1</v>
      </c>
      <c r="G216">
        <v>7618850</v>
      </c>
      <c r="J216">
        <v>89050000000</v>
      </c>
      <c r="K216">
        <v>59890000000</v>
      </c>
      <c r="L216">
        <v>11689</v>
      </c>
      <c r="O216">
        <v>0.76400000000000001</v>
      </c>
      <c r="P216">
        <v>70.072999999999993</v>
      </c>
      <c r="Q216">
        <v>13.240579609999999</v>
      </c>
      <c r="R216">
        <v>11.20780193</v>
      </c>
      <c r="S216">
        <v>17715.58167</v>
      </c>
    </row>
    <row r="217" spans="1:41" x14ac:dyDescent="0.3">
      <c r="A217" t="s">
        <v>662</v>
      </c>
      <c r="C217" t="s">
        <v>663</v>
      </c>
      <c r="D217" t="s">
        <v>60</v>
      </c>
      <c r="E217" t="b">
        <v>0</v>
      </c>
      <c r="G217">
        <v>46855</v>
      </c>
      <c r="K217">
        <v>1400000000</v>
      </c>
      <c r="L217">
        <v>29923</v>
      </c>
    </row>
    <row r="218" spans="1:41" x14ac:dyDescent="0.3">
      <c r="A218" t="s">
        <v>664</v>
      </c>
      <c r="B218" t="s">
        <v>665</v>
      </c>
      <c r="C218" t="s">
        <v>666</v>
      </c>
      <c r="D218" t="s">
        <v>52</v>
      </c>
      <c r="E218" t="b">
        <v>1</v>
      </c>
      <c r="G218">
        <v>9492</v>
      </c>
      <c r="J218">
        <v>65000000</v>
      </c>
      <c r="K218">
        <v>67530000</v>
      </c>
      <c r="L218">
        <v>6848</v>
      </c>
      <c r="M218">
        <v>2010</v>
      </c>
      <c r="N218">
        <v>0.39139032000000001</v>
      </c>
      <c r="O218">
        <v>0.68899999999999995</v>
      </c>
      <c r="P218">
        <v>67.105000000000004</v>
      </c>
      <c r="Q218">
        <v>12.37506862</v>
      </c>
      <c r="R218">
        <v>10.76746107</v>
      </c>
      <c r="S218">
        <v>7005.5207810000002</v>
      </c>
    </row>
    <row r="219" spans="1:41" x14ac:dyDescent="0.3">
      <c r="A219" t="s">
        <v>667</v>
      </c>
      <c r="B219" t="s">
        <v>668</v>
      </c>
      <c r="C219" t="s">
        <v>669</v>
      </c>
      <c r="D219" t="s">
        <v>49</v>
      </c>
      <c r="E219" t="b">
        <v>1</v>
      </c>
      <c r="G219">
        <v>51384900</v>
      </c>
      <c r="J219">
        <v>64280000000</v>
      </c>
      <c r="K219">
        <v>51020000000</v>
      </c>
      <c r="L219">
        <v>1251</v>
      </c>
      <c r="M219">
        <v>2019</v>
      </c>
      <c r="N219">
        <v>0.42702177000000002</v>
      </c>
      <c r="O219">
        <v>0.58199999999999996</v>
      </c>
      <c r="P219">
        <v>68.251999999999995</v>
      </c>
      <c r="Q219">
        <v>11.564048189999999</v>
      </c>
      <c r="R219">
        <v>6.3236630820000004</v>
      </c>
      <c r="S219">
        <v>2736.4100210000001</v>
      </c>
      <c r="T219">
        <v>25.4</v>
      </c>
      <c r="U219">
        <v>8.6999999999999993</v>
      </c>
      <c r="V219">
        <v>18.100000000000001</v>
      </c>
      <c r="W219">
        <v>28.1</v>
      </c>
      <c r="X219">
        <v>22.7</v>
      </c>
      <c r="Y219">
        <v>21.1</v>
      </c>
      <c r="AO219">
        <v>4.4610000000000003</v>
      </c>
    </row>
    <row r="220" spans="1:41" x14ac:dyDescent="0.3">
      <c r="A220" t="s">
        <v>670</v>
      </c>
      <c r="B220" t="s">
        <v>671</v>
      </c>
      <c r="C220" t="s">
        <v>672</v>
      </c>
      <c r="D220" t="s">
        <v>45</v>
      </c>
      <c r="E220" t="b">
        <v>1</v>
      </c>
      <c r="F220" t="s">
        <v>673</v>
      </c>
      <c r="G220">
        <v>38980400</v>
      </c>
      <c r="H220">
        <v>-47.5</v>
      </c>
      <c r="I220">
        <v>-27.8</v>
      </c>
      <c r="J220">
        <v>205740000000</v>
      </c>
      <c r="K220">
        <v>178760000000</v>
      </c>
      <c r="L220">
        <v>5278</v>
      </c>
      <c r="M220">
        <v>2020</v>
      </c>
      <c r="N220">
        <v>0.25627362999999997</v>
      </c>
      <c r="O220">
        <v>0.77900000000000003</v>
      </c>
      <c r="P220">
        <v>73.421999999999997</v>
      </c>
      <c r="Q220">
        <v>13.328009610000001</v>
      </c>
      <c r="R220">
        <v>11.12273899</v>
      </c>
      <c r="S220">
        <v>16933.144530000001</v>
      </c>
      <c r="T220">
        <v>26.1</v>
      </c>
      <c r="U220">
        <v>7.9</v>
      </c>
      <c r="V220">
        <v>18.2</v>
      </c>
      <c r="W220">
        <v>26.6</v>
      </c>
      <c r="X220">
        <v>23.1</v>
      </c>
      <c r="Y220">
        <v>51.2</v>
      </c>
      <c r="Z220">
        <v>12.9</v>
      </c>
      <c r="AA220">
        <v>5.4</v>
      </c>
      <c r="AB220">
        <v>5.4</v>
      </c>
      <c r="AC220">
        <v>18.7</v>
      </c>
      <c r="AD220">
        <v>18.5</v>
      </c>
      <c r="AE220">
        <v>235.9</v>
      </c>
      <c r="AF220">
        <v>0.4</v>
      </c>
      <c r="AG220">
        <v>117.8</v>
      </c>
      <c r="AH220">
        <v>52.3</v>
      </c>
      <c r="AI220">
        <v>53</v>
      </c>
      <c r="AJ220">
        <v>55.8</v>
      </c>
      <c r="AK220">
        <v>12.9</v>
      </c>
      <c r="AL220">
        <v>37.799999999999997</v>
      </c>
      <c r="AM220">
        <v>62.2</v>
      </c>
      <c r="AN220">
        <v>71.900000000000006</v>
      </c>
      <c r="AO220">
        <v>4.68</v>
      </c>
    </row>
    <row r="221" spans="1:41" x14ac:dyDescent="0.3">
      <c r="A221" t="s">
        <v>674</v>
      </c>
      <c r="B221" t="s">
        <v>675</v>
      </c>
      <c r="C221" t="s">
        <v>676</v>
      </c>
      <c r="D221" t="s">
        <v>41</v>
      </c>
      <c r="E221" t="b">
        <v>1</v>
      </c>
      <c r="F221" t="s">
        <v>677</v>
      </c>
      <c r="G221">
        <v>11346000</v>
      </c>
      <c r="H221">
        <v>-13.9</v>
      </c>
      <c r="I221">
        <v>-3.8</v>
      </c>
      <c r="J221">
        <v>548600000000</v>
      </c>
      <c r="K221">
        <v>514130000000</v>
      </c>
      <c r="L221">
        <v>48352</v>
      </c>
      <c r="M221">
        <v>2018</v>
      </c>
      <c r="N221">
        <v>0.26399003999999998</v>
      </c>
      <c r="O221">
        <v>0.94</v>
      </c>
      <c r="P221">
        <v>82.909000000000006</v>
      </c>
      <c r="Q221">
        <v>15.601590160000001</v>
      </c>
      <c r="R221">
        <v>12.989999770000001</v>
      </c>
      <c r="S221">
        <v>71142.304749999996</v>
      </c>
      <c r="T221">
        <v>53.4</v>
      </c>
      <c r="U221">
        <v>42.5</v>
      </c>
      <c r="V221">
        <v>48.7</v>
      </c>
      <c r="W221">
        <v>42.9</v>
      </c>
      <c r="X221">
        <v>52.7</v>
      </c>
      <c r="Y221">
        <v>125.8</v>
      </c>
      <c r="Z221">
        <v>8.3000000000000007</v>
      </c>
      <c r="AA221">
        <v>5.9</v>
      </c>
      <c r="AB221">
        <v>7.5</v>
      </c>
      <c r="AC221">
        <v>16.8</v>
      </c>
      <c r="AD221">
        <v>13.4</v>
      </c>
      <c r="AE221">
        <v>63.2</v>
      </c>
      <c r="AF221">
        <v>1.6</v>
      </c>
      <c r="AG221">
        <v>174.2</v>
      </c>
      <c r="AH221">
        <v>131.6</v>
      </c>
      <c r="AI221">
        <v>85.2</v>
      </c>
      <c r="AJ221">
        <v>70.7</v>
      </c>
      <c r="AK221">
        <v>8.3000000000000007</v>
      </c>
      <c r="AL221">
        <v>36.1</v>
      </c>
      <c r="AM221">
        <v>48.2</v>
      </c>
      <c r="AN221">
        <v>43.4</v>
      </c>
      <c r="AO221">
        <v>6.7590000000000003</v>
      </c>
    </row>
    <row r="222" spans="1:41" x14ac:dyDescent="0.3">
      <c r="A222" t="s">
        <v>678</v>
      </c>
      <c r="B222" t="s">
        <v>679</v>
      </c>
      <c r="C222" t="s">
        <v>680</v>
      </c>
      <c r="D222" t="s">
        <v>45</v>
      </c>
      <c r="E222" t="b">
        <v>1</v>
      </c>
      <c r="F222" t="s">
        <v>211</v>
      </c>
      <c r="G222">
        <v>69551300</v>
      </c>
      <c r="H222">
        <v>13.5</v>
      </c>
      <c r="I222">
        <v>31.1</v>
      </c>
      <c r="J222">
        <v>3840000000000</v>
      </c>
      <c r="K222">
        <v>3380000000000</v>
      </c>
      <c r="L222">
        <v>55199</v>
      </c>
      <c r="M222">
        <v>2021</v>
      </c>
      <c r="N222">
        <v>0.32414632999999998</v>
      </c>
      <c r="O222">
        <v>0.94599999999999995</v>
      </c>
      <c r="P222">
        <v>81.302000000000007</v>
      </c>
      <c r="Q222">
        <v>17.811069490000001</v>
      </c>
      <c r="R222">
        <v>13.489999770000001</v>
      </c>
      <c r="S222">
        <v>54371.586340000002</v>
      </c>
      <c r="T222">
        <v>64.2</v>
      </c>
      <c r="U222">
        <v>32.9</v>
      </c>
      <c r="V222">
        <v>50.6</v>
      </c>
      <c r="W222">
        <v>59.3</v>
      </c>
      <c r="X222">
        <v>67</v>
      </c>
      <c r="Y222">
        <v>127.4</v>
      </c>
      <c r="Z222">
        <v>8.6999999999999993</v>
      </c>
      <c r="AA222">
        <v>4.7</v>
      </c>
      <c r="AB222">
        <v>4.8</v>
      </c>
      <c r="AC222">
        <v>21.1</v>
      </c>
      <c r="AD222">
        <v>21</v>
      </c>
      <c r="AE222">
        <v>73.400000000000006</v>
      </c>
      <c r="AF222">
        <v>1.4</v>
      </c>
      <c r="AG222">
        <v>177.2</v>
      </c>
      <c r="AH222">
        <v>131.69999999999999</v>
      </c>
      <c r="AI222">
        <v>51.6</v>
      </c>
      <c r="AJ222">
        <v>72.5</v>
      </c>
      <c r="AK222">
        <v>8.6999999999999993</v>
      </c>
      <c r="AL222">
        <v>34.799999999999997</v>
      </c>
      <c r="AM222">
        <v>40.700000000000003</v>
      </c>
      <c r="AN222">
        <v>88.1</v>
      </c>
      <c r="AO222">
        <v>6.7279999999999998</v>
      </c>
    </row>
    <row r="223" spans="1:41" x14ac:dyDescent="0.3">
      <c r="A223" t="s">
        <v>681</v>
      </c>
      <c r="B223" t="s">
        <v>682</v>
      </c>
      <c r="C223" t="s">
        <v>683</v>
      </c>
      <c r="D223" t="s">
        <v>60</v>
      </c>
      <c r="E223" t="b">
        <v>1</v>
      </c>
      <c r="F223" t="s">
        <v>684</v>
      </c>
      <c r="G223">
        <v>347276000</v>
      </c>
      <c r="H223">
        <v>0</v>
      </c>
      <c r="I223">
        <v>0</v>
      </c>
      <c r="J223">
        <v>30510000000000</v>
      </c>
      <c r="K223">
        <v>27720000000000</v>
      </c>
      <c r="L223">
        <v>87847</v>
      </c>
      <c r="M223">
        <v>2023</v>
      </c>
      <c r="N223">
        <v>0.41818877999999998</v>
      </c>
      <c r="O223">
        <v>0.93799999999999994</v>
      </c>
      <c r="P223">
        <v>79.304000000000002</v>
      </c>
      <c r="Q223">
        <v>15.92300034</v>
      </c>
      <c r="R223">
        <v>13.90999985</v>
      </c>
      <c r="S223">
        <v>73650.030769999998</v>
      </c>
      <c r="T223">
        <v>64.8</v>
      </c>
      <c r="U223">
        <v>41.3</v>
      </c>
      <c r="V223">
        <v>54.6</v>
      </c>
      <c r="W223">
        <v>71.3</v>
      </c>
      <c r="X223">
        <v>65.5</v>
      </c>
      <c r="Y223">
        <v>157.19999999999999</v>
      </c>
      <c r="Z223">
        <v>3.4</v>
      </c>
      <c r="AA223">
        <v>11.3</v>
      </c>
      <c r="AB223">
        <v>11.1</v>
      </c>
      <c r="AC223">
        <v>8.8000000000000007</v>
      </c>
      <c r="AD223">
        <v>9</v>
      </c>
      <c r="AE223">
        <v>30.8</v>
      </c>
      <c r="AF223">
        <v>3.2</v>
      </c>
      <c r="AG223">
        <v>192.1</v>
      </c>
      <c r="AH223">
        <v>163.4</v>
      </c>
      <c r="AI223">
        <v>50.8</v>
      </c>
      <c r="AJ223">
        <v>67.5</v>
      </c>
      <c r="AK223">
        <v>3.4</v>
      </c>
      <c r="AL223">
        <v>33.1</v>
      </c>
      <c r="AM223">
        <v>36.9</v>
      </c>
      <c r="AN223">
        <v>76.099999999999994</v>
      </c>
      <c r="AO223">
        <v>6.7240000000000002</v>
      </c>
    </row>
    <row r="224" spans="1:41" x14ac:dyDescent="0.3">
      <c r="A224" t="s">
        <v>685</v>
      </c>
      <c r="C224" t="s">
        <v>686</v>
      </c>
      <c r="D224" t="s">
        <v>60</v>
      </c>
      <c r="E224" t="b">
        <v>0</v>
      </c>
    </row>
    <row r="225" spans="1:41" x14ac:dyDescent="0.3">
      <c r="A225" t="s">
        <v>687</v>
      </c>
      <c r="B225" t="s">
        <v>688</v>
      </c>
      <c r="C225" t="s">
        <v>689</v>
      </c>
      <c r="D225" t="s">
        <v>66</v>
      </c>
      <c r="E225" t="b">
        <v>1</v>
      </c>
      <c r="F225" t="s">
        <v>67</v>
      </c>
      <c r="G225">
        <v>3384690</v>
      </c>
      <c r="H225">
        <v>29.6</v>
      </c>
      <c r="I225">
        <v>72</v>
      </c>
      <c r="J225">
        <v>79730000000</v>
      </c>
      <c r="K225">
        <v>77240000000</v>
      </c>
      <c r="L225">
        <v>23556</v>
      </c>
      <c r="M225">
        <v>2023</v>
      </c>
      <c r="N225">
        <v>0.40867536999999998</v>
      </c>
      <c r="O225">
        <v>0.86199999999999999</v>
      </c>
      <c r="P225">
        <v>78.138000000000005</v>
      </c>
      <c r="Q225">
        <v>17.483959200000001</v>
      </c>
      <c r="R225">
        <v>10.539999959999999</v>
      </c>
      <c r="S225">
        <v>28649.82199</v>
      </c>
      <c r="T225">
        <v>51.3</v>
      </c>
      <c r="U225">
        <v>14.2</v>
      </c>
      <c r="V225">
        <v>35.200000000000003</v>
      </c>
      <c r="W225">
        <v>51</v>
      </c>
      <c r="X225">
        <v>53.3</v>
      </c>
      <c r="Y225">
        <v>54.7</v>
      </c>
      <c r="Z225">
        <v>15.2</v>
      </c>
      <c r="AA225">
        <v>4.2</v>
      </c>
      <c r="AB225">
        <v>3.7</v>
      </c>
      <c r="AC225">
        <v>23.7</v>
      </c>
      <c r="AD225">
        <v>27.2</v>
      </c>
      <c r="AE225">
        <v>135.4</v>
      </c>
      <c r="AF225">
        <v>0.7</v>
      </c>
      <c r="AG225">
        <v>137.19999999999999</v>
      </c>
      <c r="AH225">
        <v>55.9</v>
      </c>
      <c r="AI225">
        <v>47.7</v>
      </c>
      <c r="AJ225">
        <v>68.5</v>
      </c>
      <c r="AK225">
        <v>15.2</v>
      </c>
      <c r="AL225">
        <v>40</v>
      </c>
      <c r="AM225">
        <v>43.3</v>
      </c>
      <c r="AN225">
        <v>98.5</v>
      </c>
      <c r="AO225">
        <v>6.6609999999999996</v>
      </c>
    </row>
    <row r="226" spans="1:41" x14ac:dyDescent="0.3">
      <c r="A226" t="s">
        <v>690</v>
      </c>
      <c r="B226" t="s">
        <v>691</v>
      </c>
      <c r="C226" t="s">
        <v>692</v>
      </c>
      <c r="D226" t="s">
        <v>41</v>
      </c>
      <c r="E226" t="b">
        <v>1</v>
      </c>
      <c r="G226">
        <v>37053400</v>
      </c>
      <c r="J226">
        <v>132480000000</v>
      </c>
      <c r="K226">
        <v>90890000000</v>
      </c>
      <c r="L226">
        <v>3575</v>
      </c>
      <c r="M226">
        <v>2023</v>
      </c>
      <c r="N226">
        <v>0.34538773</v>
      </c>
      <c r="O226">
        <v>0.74</v>
      </c>
      <c r="P226">
        <v>72.388000000000005</v>
      </c>
      <c r="Q226">
        <v>12.46086979</v>
      </c>
      <c r="R226">
        <v>11.90999985</v>
      </c>
      <c r="S226">
        <v>8825.7308929999999</v>
      </c>
      <c r="T226">
        <v>24.9</v>
      </c>
      <c r="U226">
        <v>12.2</v>
      </c>
      <c r="V226">
        <v>19.399999999999999</v>
      </c>
      <c r="W226">
        <v>27.3</v>
      </c>
      <c r="X226">
        <v>20.3</v>
      </c>
      <c r="Y226">
        <v>47.8</v>
      </c>
      <c r="Z226">
        <v>13.6</v>
      </c>
      <c r="AA226">
        <v>7.4</v>
      </c>
      <c r="AB226">
        <v>8.5</v>
      </c>
      <c r="AC226">
        <v>13.5</v>
      </c>
      <c r="AD226">
        <v>11.8</v>
      </c>
      <c r="AE226">
        <v>309.39999999999998</v>
      </c>
      <c r="AF226">
        <v>0.3</v>
      </c>
      <c r="AO226">
        <v>6.1929999999999996</v>
      </c>
    </row>
    <row r="227" spans="1:41" x14ac:dyDescent="0.3">
      <c r="A227" t="s">
        <v>693</v>
      </c>
      <c r="B227" t="s">
        <v>694</v>
      </c>
      <c r="C227" t="s">
        <v>695</v>
      </c>
      <c r="D227" t="s">
        <v>52</v>
      </c>
      <c r="E227" t="b">
        <v>1</v>
      </c>
      <c r="G227">
        <v>335169</v>
      </c>
      <c r="J227">
        <v>1270000000</v>
      </c>
      <c r="K227">
        <v>1120000000</v>
      </c>
      <c r="L227">
        <v>3780</v>
      </c>
      <c r="M227">
        <v>2019</v>
      </c>
      <c r="N227">
        <v>0.32317575999999998</v>
      </c>
      <c r="O227">
        <v>0.621</v>
      </c>
      <c r="P227">
        <v>71.477000000000004</v>
      </c>
      <c r="Q227">
        <v>11.81160992</v>
      </c>
      <c r="R227">
        <v>7.1832097270000004</v>
      </c>
      <c r="S227">
        <v>3403.6901929999999</v>
      </c>
    </row>
    <row r="228" spans="1:41" x14ac:dyDescent="0.3">
      <c r="A228" t="s">
        <v>696</v>
      </c>
      <c r="C228" t="s">
        <v>697</v>
      </c>
      <c r="D228" t="s">
        <v>45</v>
      </c>
      <c r="E228" t="b">
        <v>1</v>
      </c>
    </row>
    <row r="229" spans="1:41" x14ac:dyDescent="0.3">
      <c r="A229" t="s">
        <v>698</v>
      </c>
      <c r="C229" t="s">
        <v>699</v>
      </c>
      <c r="D229" t="s">
        <v>66</v>
      </c>
      <c r="E229" t="b">
        <v>1</v>
      </c>
      <c r="F229" t="s">
        <v>700</v>
      </c>
      <c r="G229">
        <v>28516900</v>
      </c>
      <c r="H229">
        <v>-30</v>
      </c>
      <c r="J229">
        <v>108510000000</v>
      </c>
      <c r="K229">
        <v>139400000000</v>
      </c>
      <c r="L229">
        <v>3805</v>
      </c>
      <c r="O229">
        <v>0.70899999999999996</v>
      </c>
      <c r="P229">
        <v>72.513999999999996</v>
      </c>
      <c r="Q229">
        <v>12.965376539999999</v>
      </c>
      <c r="R229">
        <v>9.6783853729999993</v>
      </c>
      <c r="S229">
        <v>7157.08</v>
      </c>
      <c r="T229">
        <v>35.6</v>
      </c>
      <c r="U229">
        <v>6.2</v>
      </c>
      <c r="V229">
        <v>22.8</v>
      </c>
      <c r="W229">
        <v>39</v>
      </c>
      <c r="X229">
        <v>37.1</v>
      </c>
      <c r="Y229">
        <v>18.600000000000001</v>
      </c>
      <c r="Z229">
        <v>16.100000000000001</v>
      </c>
      <c r="AA229">
        <v>7.7</v>
      </c>
      <c r="AB229">
        <v>6.8</v>
      </c>
      <c r="AC229">
        <v>13.1</v>
      </c>
      <c r="AD229">
        <v>14.8</v>
      </c>
      <c r="AE229">
        <v>350.6</v>
      </c>
      <c r="AF229">
        <v>0.3</v>
      </c>
      <c r="AG229">
        <v>73.7</v>
      </c>
      <c r="AH229">
        <v>18.899999999999999</v>
      </c>
      <c r="AI229">
        <v>19.5</v>
      </c>
      <c r="AJ229">
        <v>39.6</v>
      </c>
      <c r="AK229">
        <v>16.100000000000001</v>
      </c>
      <c r="AL229">
        <v>32.6</v>
      </c>
      <c r="AM229">
        <v>73.7</v>
      </c>
      <c r="AN229">
        <v>77.099999999999994</v>
      </c>
      <c r="AO229">
        <v>5.6829999999999998</v>
      </c>
    </row>
    <row r="230" spans="1:41" x14ac:dyDescent="0.3">
      <c r="A230" t="s">
        <v>701</v>
      </c>
      <c r="B230" t="s">
        <v>702</v>
      </c>
      <c r="C230" t="s">
        <v>703</v>
      </c>
      <c r="D230" t="s">
        <v>41</v>
      </c>
      <c r="E230" t="b">
        <v>1</v>
      </c>
      <c r="F230" t="s">
        <v>704</v>
      </c>
      <c r="G230">
        <v>101599000</v>
      </c>
      <c r="H230">
        <v>-51.6</v>
      </c>
      <c r="I230">
        <v>-33</v>
      </c>
      <c r="J230">
        <v>490970000000</v>
      </c>
      <c r="K230">
        <v>429720000000</v>
      </c>
      <c r="L230">
        <v>4832</v>
      </c>
      <c r="M230">
        <v>2022</v>
      </c>
      <c r="N230">
        <v>0.36093006</v>
      </c>
      <c r="O230">
        <v>0.76600000000000001</v>
      </c>
      <c r="P230">
        <v>74.587999999999994</v>
      </c>
      <c r="Q230">
        <v>15.457715029999999</v>
      </c>
      <c r="R230">
        <v>8.9799995419999998</v>
      </c>
      <c r="S230">
        <v>13032.635329999999</v>
      </c>
      <c r="T230">
        <v>25.9</v>
      </c>
      <c r="U230">
        <v>9.5</v>
      </c>
      <c r="V230">
        <v>18.8</v>
      </c>
      <c r="W230">
        <v>30.8</v>
      </c>
      <c r="X230">
        <v>15.3</v>
      </c>
      <c r="Y230">
        <v>46</v>
      </c>
      <c r="Z230">
        <v>27.3</v>
      </c>
      <c r="AA230">
        <v>2.9</v>
      </c>
      <c r="AB230">
        <v>3.6</v>
      </c>
      <c r="AC230">
        <v>34.700000000000003</v>
      </c>
      <c r="AD230">
        <v>28</v>
      </c>
      <c r="AE230">
        <v>302.60000000000002</v>
      </c>
      <c r="AF230">
        <v>0.3</v>
      </c>
      <c r="AG230">
        <v>96.6</v>
      </c>
      <c r="AH230">
        <v>47.2</v>
      </c>
      <c r="AI230">
        <v>59.6</v>
      </c>
      <c r="AJ230">
        <v>61.9</v>
      </c>
      <c r="AK230">
        <v>27.3</v>
      </c>
      <c r="AL230">
        <v>29.4</v>
      </c>
      <c r="AM230">
        <v>83.8</v>
      </c>
      <c r="AN230">
        <v>71.099999999999994</v>
      </c>
      <c r="AO230">
        <v>6.3520000000000003</v>
      </c>
    </row>
    <row r="231" spans="1:41" x14ac:dyDescent="0.3">
      <c r="A231" t="s">
        <v>705</v>
      </c>
      <c r="C231" t="s">
        <v>706</v>
      </c>
      <c r="D231" t="s">
        <v>52</v>
      </c>
      <c r="E231" t="b">
        <v>0</v>
      </c>
    </row>
    <row r="232" spans="1:41" x14ac:dyDescent="0.3">
      <c r="A232" t="s">
        <v>707</v>
      </c>
      <c r="C232" t="s">
        <v>708</v>
      </c>
      <c r="D232" t="s">
        <v>49</v>
      </c>
      <c r="E232" t="b">
        <v>0</v>
      </c>
    </row>
    <row r="233" spans="1:41" x14ac:dyDescent="0.3">
      <c r="A233" t="s">
        <v>709</v>
      </c>
      <c r="B233" t="s">
        <v>710</v>
      </c>
      <c r="C233" t="s">
        <v>711</v>
      </c>
      <c r="D233" t="s">
        <v>41</v>
      </c>
      <c r="E233" t="b">
        <v>1</v>
      </c>
      <c r="G233">
        <v>41773900</v>
      </c>
      <c r="J233">
        <v>17400000000</v>
      </c>
      <c r="K233">
        <v>8760000000</v>
      </c>
      <c r="L233">
        <v>417</v>
      </c>
      <c r="M233">
        <v>2014</v>
      </c>
      <c r="N233">
        <v>0.36707094000000001</v>
      </c>
      <c r="O233">
        <v>0.47</v>
      </c>
      <c r="P233">
        <v>69.295000000000002</v>
      </c>
      <c r="Q233">
        <v>7.4949027350000001</v>
      </c>
      <c r="R233">
        <v>5.4841499330000003</v>
      </c>
      <c r="S233">
        <v>1018.2005799999999</v>
      </c>
      <c r="T233">
        <v>50.1</v>
      </c>
      <c r="U233">
        <v>5.9</v>
      </c>
      <c r="V233">
        <v>30.8</v>
      </c>
      <c r="W233">
        <v>63.2</v>
      </c>
      <c r="X233">
        <v>34.5</v>
      </c>
      <c r="Y233">
        <v>20.399999999999999</v>
      </c>
      <c r="AO233">
        <v>3.5609999999999999</v>
      </c>
    </row>
    <row r="234" spans="1:41" x14ac:dyDescent="0.3">
      <c r="A234" t="s">
        <v>712</v>
      </c>
      <c r="B234" t="s">
        <v>713</v>
      </c>
      <c r="C234" t="s">
        <v>714</v>
      </c>
      <c r="D234" t="s">
        <v>49</v>
      </c>
      <c r="E234" t="b">
        <v>1</v>
      </c>
      <c r="G234">
        <v>21913900</v>
      </c>
      <c r="J234">
        <v>28910000000</v>
      </c>
      <c r="K234">
        <v>27580000000</v>
      </c>
      <c r="L234">
        <v>1319</v>
      </c>
      <c r="M234">
        <v>2022</v>
      </c>
      <c r="N234">
        <v>0.51484949999999996</v>
      </c>
      <c r="O234">
        <v>0.59499999999999997</v>
      </c>
      <c r="P234">
        <v>66.349000000000004</v>
      </c>
      <c r="Q234">
        <v>11.02052892</v>
      </c>
      <c r="R234">
        <v>7.3974085430000001</v>
      </c>
      <c r="S234">
        <v>3446.6758209999998</v>
      </c>
      <c r="T234">
        <v>33.5</v>
      </c>
      <c r="U234">
        <v>9.4</v>
      </c>
      <c r="V234">
        <v>23</v>
      </c>
      <c r="W234">
        <v>28.9</v>
      </c>
      <c r="X234">
        <v>20.9</v>
      </c>
      <c r="Y234">
        <v>24.7</v>
      </c>
      <c r="AO234">
        <v>3.9119999999999999</v>
      </c>
    </row>
    <row r="235" spans="1:41" x14ac:dyDescent="0.3">
      <c r="A235" t="s">
        <v>715</v>
      </c>
      <c r="B235" t="s">
        <v>716</v>
      </c>
      <c r="C235" t="s">
        <v>717</v>
      </c>
      <c r="D235" t="s">
        <v>49</v>
      </c>
      <c r="E235" t="b">
        <v>1</v>
      </c>
      <c r="G235">
        <v>16950800</v>
      </c>
      <c r="J235">
        <v>38170000000</v>
      </c>
      <c r="K235">
        <v>30370000000</v>
      </c>
      <c r="L235">
        <v>2252</v>
      </c>
      <c r="M235">
        <v>2019</v>
      </c>
      <c r="N235">
        <v>0.50256449999999997</v>
      </c>
      <c r="O235">
        <v>0.59799999999999998</v>
      </c>
      <c r="P235">
        <v>62.774999999999999</v>
      </c>
      <c r="Q235">
        <v>11.05745312</v>
      </c>
      <c r="R235">
        <v>8.9308472160000001</v>
      </c>
      <c r="S235">
        <v>3511.4632150000002</v>
      </c>
      <c r="T235">
        <v>33.4</v>
      </c>
      <c r="U235">
        <v>9.4</v>
      </c>
      <c r="V235">
        <v>23</v>
      </c>
      <c r="W235">
        <v>33.299999999999997</v>
      </c>
      <c r="X235">
        <v>31.4</v>
      </c>
      <c r="Y235">
        <v>30.7</v>
      </c>
      <c r="AO235">
        <v>3.3959999999999999</v>
      </c>
    </row>
  </sheetData>
  <sheetProtection sheet="1" selectLockedCells="1" selectUnlockedCells="1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9C90-F95B-49BF-9B58-623A0A0CB7A5}">
  <sheetPr>
    <tabColor theme="6" tint="0.79998168889431442"/>
  </sheetPr>
  <dimension ref="A1:Q27"/>
  <sheetViews>
    <sheetView showGridLines="0" zoomScale="120" zoomScaleNormal="120" workbookViewId="0">
      <selection activeCell="H3" sqref="H3:I3"/>
    </sheetView>
  </sheetViews>
  <sheetFormatPr baseColWidth="10" defaultRowHeight="14.4" x14ac:dyDescent="0.3"/>
  <cols>
    <col min="3" max="3" width="11.5546875" customWidth="1"/>
    <col min="4" max="4" width="3.5546875" customWidth="1"/>
    <col min="5" max="5" width="6.6640625" style="9" customWidth="1"/>
    <col min="6" max="6" width="2.6640625" customWidth="1"/>
    <col min="7" max="7" width="13.33203125" customWidth="1"/>
    <col min="8" max="9" width="10.6640625" customWidth="1"/>
    <col min="10" max="10" width="2.6640625" customWidth="1"/>
    <col min="11" max="11" width="13.33203125" customWidth="1"/>
    <col min="12" max="13" width="10.6640625" customWidth="1"/>
    <col min="14" max="14" width="2.6640625" customWidth="1"/>
    <col min="15" max="15" width="16.6640625" customWidth="1"/>
  </cols>
  <sheetData>
    <row r="1" spans="1:17" ht="26.4" thickBot="1" x14ac:dyDescent="0.55000000000000004">
      <c r="A1" s="34" t="s">
        <v>718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3" spans="1:17" x14ac:dyDescent="0.3">
      <c r="A3" s="38" t="s">
        <v>733</v>
      </c>
      <c r="B3" s="38"/>
      <c r="C3" s="38"/>
      <c r="D3" s="38"/>
      <c r="E3" s="38"/>
      <c r="G3" s="7" t="s">
        <v>720</v>
      </c>
      <c r="H3" s="42" t="s">
        <v>45</v>
      </c>
      <c r="I3" s="42"/>
      <c r="K3" s="7" t="s">
        <v>749</v>
      </c>
      <c r="L3" s="42" t="s">
        <v>748</v>
      </c>
      <c r="M3" s="42"/>
      <c r="O3" s="8" t="str">
        <f>G6&amp;" (0-100)"</f>
        <v>Iceland (0-100)</v>
      </c>
    </row>
    <row r="4" spans="1:17" x14ac:dyDescent="0.3">
      <c r="Q4" s="10"/>
    </row>
    <row r="5" spans="1:17" x14ac:dyDescent="0.3">
      <c r="A5" s="39" t="s">
        <v>734</v>
      </c>
      <c r="B5" s="39"/>
      <c r="C5" s="39"/>
      <c r="D5" s="39"/>
      <c r="G5" s="35" t="s">
        <v>755</v>
      </c>
      <c r="H5" s="36"/>
      <c r="I5" s="37"/>
      <c r="K5" s="35" t="s">
        <v>759</v>
      </c>
      <c r="L5" s="36"/>
      <c r="M5" s="37"/>
      <c r="O5" s="11" t="s">
        <v>725</v>
      </c>
    </row>
    <row r="6" spans="1:17" ht="19.2" customHeight="1" x14ac:dyDescent="0.3">
      <c r="A6" s="40">
        <f>E6</f>
        <v>5</v>
      </c>
      <c r="B6" s="41"/>
      <c r="C6" s="41"/>
      <c r="D6" s="13"/>
      <c r="E6" s="5">
        <v>5</v>
      </c>
      <c r="G6" s="43" t="str">
        <f>'Best Country (help)'!A15</f>
        <v>Iceland</v>
      </c>
      <c r="H6" s="44"/>
      <c r="I6" s="45"/>
      <c r="K6" s="43">
        <f>'Best Country (help)'!B15</f>
        <v>73.81</v>
      </c>
      <c r="L6" s="44"/>
      <c r="M6" s="45"/>
      <c r="O6" s="12" cm="1">
        <f t="array" ref="O6">ROUND(_xlfn.XLOOKUP('Best Country (help)'!A15,_xlfn.ANCHORARRAY( 'Best Country (help)'!H5), 'Best Country (help)'!S5:S238)*100, 'Best Country (help)'!B1)</f>
        <v>23.01</v>
      </c>
    </row>
    <row r="7" spans="1:17" x14ac:dyDescent="0.3">
      <c r="G7" s="46"/>
      <c r="H7" s="47"/>
      <c r="I7" s="48"/>
      <c r="K7" s="46"/>
      <c r="L7" s="47"/>
      <c r="M7" s="48"/>
    </row>
    <row r="8" spans="1:17" x14ac:dyDescent="0.3">
      <c r="A8" s="39" t="s">
        <v>738</v>
      </c>
      <c r="B8" s="39"/>
      <c r="C8" s="39"/>
      <c r="D8" s="39"/>
      <c r="O8" s="11" t="s">
        <v>742</v>
      </c>
    </row>
    <row r="9" spans="1:17" ht="19.2" customHeight="1" x14ac:dyDescent="0.3">
      <c r="A9" s="40">
        <f>E9</f>
        <v>7</v>
      </c>
      <c r="B9" s="41"/>
      <c r="C9" s="41"/>
      <c r="D9" s="13"/>
      <c r="E9" s="5">
        <v>7</v>
      </c>
      <c r="O9" s="12" cm="1">
        <f t="array" ref="O9">ROUND(_xlfn.XLOOKUP('Best Country (help)'!A15,_xlfn.ANCHORARRAY( 'Best Country (help)'!H5), 'Best Country (help)'!Q5:Q238)*100, 'Best Country (help)'!B1)</f>
        <v>33.92</v>
      </c>
    </row>
    <row r="11" spans="1:17" x14ac:dyDescent="0.3">
      <c r="A11" s="39" t="s">
        <v>737</v>
      </c>
      <c r="B11" s="39"/>
      <c r="C11" s="39"/>
      <c r="D11" s="39"/>
      <c r="O11" s="11" t="s">
        <v>756</v>
      </c>
    </row>
    <row r="12" spans="1:17" ht="19.2" customHeight="1" x14ac:dyDescent="0.3">
      <c r="A12" s="40">
        <f>E12</f>
        <v>5</v>
      </c>
      <c r="B12" s="41"/>
      <c r="C12" s="41"/>
      <c r="D12" s="13"/>
      <c r="E12" s="5">
        <v>5</v>
      </c>
      <c r="O12" s="12" cm="1">
        <f t="array" ref="O12">ROUND(_xlfn.XLOOKUP('Best Country (help)'!A15,_xlfn.ANCHORARRAY( 'Best Country (help)'!H5), 'Best Country (help)'!K5:K238)*100, 'Best Country (help)'!B1)</f>
        <v>93.62</v>
      </c>
    </row>
    <row r="14" spans="1:17" x14ac:dyDescent="0.3">
      <c r="A14" s="39" t="s">
        <v>736</v>
      </c>
      <c r="B14" s="39"/>
      <c r="C14" s="39"/>
      <c r="D14" s="39"/>
      <c r="O14" s="11" t="s">
        <v>743</v>
      </c>
    </row>
    <row r="15" spans="1:17" ht="19.2" customHeight="1" x14ac:dyDescent="0.3">
      <c r="A15" s="40">
        <f>E15</f>
        <v>8</v>
      </c>
      <c r="B15" s="41"/>
      <c r="C15" s="41"/>
      <c r="D15" s="13"/>
      <c r="E15" s="5">
        <v>8</v>
      </c>
      <c r="O15" s="12" cm="1">
        <f t="array" ref="O15">ROUND(_xlfn.XLOOKUP('Best Country (help)'!A15,_xlfn.ANCHORARRAY( 'Best Country (help)'!H5), 'Best Country (help)'!M5:M238)*100, 'Best Country (help)'!B1)</f>
        <v>100</v>
      </c>
    </row>
    <row r="17" spans="1:15" x14ac:dyDescent="0.3">
      <c r="A17" s="39" t="s">
        <v>735</v>
      </c>
      <c r="B17" s="39"/>
      <c r="C17" s="39"/>
      <c r="D17" s="39"/>
      <c r="O17" s="11" t="s">
        <v>757</v>
      </c>
    </row>
    <row r="18" spans="1:15" ht="19.2" customHeight="1" x14ac:dyDescent="0.3">
      <c r="A18" s="40">
        <f>E18</f>
        <v>5</v>
      </c>
      <c r="B18" s="41"/>
      <c r="C18" s="41"/>
      <c r="D18" s="13"/>
      <c r="E18" s="5">
        <v>5</v>
      </c>
      <c r="O18" s="12" cm="1">
        <f t="array" ref="O18">ROUND(_xlfn.XLOOKUP('Best Country (help)'!A15,_xlfn.ANCHORARRAY( 'Best Country (help)'!H5), 'Best Country (help)'!O5:O238)*100, 'Best Country (help)'!B1)</f>
        <v>90.35</v>
      </c>
    </row>
    <row r="20" spans="1:15" x14ac:dyDescent="0.3">
      <c r="A20" s="39" t="s">
        <v>739</v>
      </c>
      <c r="B20" s="39"/>
      <c r="C20" s="39"/>
      <c r="D20" s="39"/>
      <c r="O20" s="11" t="s">
        <v>726</v>
      </c>
    </row>
    <row r="21" spans="1:15" ht="19.2" customHeight="1" x14ac:dyDescent="0.3">
      <c r="A21" s="40">
        <f>E21</f>
        <v>4</v>
      </c>
      <c r="B21" s="41"/>
      <c r="C21" s="41"/>
      <c r="D21" s="13"/>
      <c r="E21" s="5">
        <v>4</v>
      </c>
      <c r="O21" s="12" cm="1">
        <f t="array" ref="O21">ROUND(_xlfn.XLOOKUP('Best Country (help)'!A15,_xlfn.ANCHORARRAY( 'Best Country (help)'!H5), 'Best Country (help)'!U5:U238)*100, 'Best Country (help)'!B1)</f>
        <v>83.26</v>
      </c>
    </row>
    <row r="23" spans="1:15" x14ac:dyDescent="0.3">
      <c r="A23" s="39" t="s">
        <v>740</v>
      </c>
      <c r="B23" s="39"/>
      <c r="C23" s="39"/>
      <c r="D23" s="39"/>
      <c r="O23" s="11" t="s">
        <v>727</v>
      </c>
    </row>
    <row r="24" spans="1:15" ht="19.2" customHeight="1" x14ac:dyDescent="0.3">
      <c r="A24" s="40">
        <f>E24</f>
        <v>3</v>
      </c>
      <c r="B24" s="41"/>
      <c r="C24" s="41"/>
      <c r="D24" s="13"/>
      <c r="E24" s="5">
        <v>3</v>
      </c>
      <c r="O24" s="12" cm="1">
        <f t="array" ref="O24">ROUND(_xlfn.XLOOKUP('Best Country (help)'!A15,_xlfn.ANCHORARRAY( 'Best Country (help)'!H5), 'Best Country (help)'!W5:W238)*100, 'Best Country (help)'!B1)</f>
        <v>40.299999999999997</v>
      </c>
    </row>
    <row r="26" spans="1:15" x14ac:dyDescent="0.3">
      <c r="A26" s="39" t="s">
        <v>741</v>
      </c>
      <c r="B26" s="39"/>
      <c r="C26" s="39"/>
      <c r="D26" s="39"/>
      <c r="O26" s="11" t="s">
        <v>728</v>
      </c>
    </row>
    <row r="27" spans="1:15" ht="19.2" customHeight="1" x14ac:dyDescent="0.3">
      <c r="A27" s="40">
        <f>E27</f>
        <v>9</v>
      </c>
      <c r="B27" s="41"/>
      <c r="C27" s="41"/>
      <c r="D27" s="13"/>
      <c r="E27" s="5">
        <v>9</v>
      </c>
      <c r="O27" s="12" cm="1">
        <f t="array" ref="O27">ROUND(_xlfn.XLOOKUP('Best Country (help)'!A15,_xlfn.ANCHORARRAY( 'Best Country (help)'!H5), 'Best Country (help)'!Y5:Y238)*100, 'Best Country (help)'!B1)</f>
        <v>96.53</v>
      </c>
    </row>
  </sheetData>
  <sheetProtection sheet="1" objects="1" scenarios="1" selectLockedCells="1"/>
  <mergeCells count="24">
    <mergeCell ref="A27:C27"/>
    <mergeCell ref="A24:C24"/>
    <mergeCell ref="A21:C21"/>
    <mergeCell ref="A18:C18"/>
    <mergeCell ref="A26:D26"/>
    <mergeCell ref="A17:D17"/>
    <mergeCell ref="A20:D20"/>
    <mergeCell ref="A23:D23"/>
    <mergeCell ref="A6:C6"/>
    <mergeCell ref="A15:C15"/>
    <mergeCell ref="A12:C12"/>
    <mergeCell ref="A9:C9"/>
    <mergeCell ref="A14:D14"/>
    <mergeCell ref="A1:O1"/>
    <mergeCell ref="G5:I5"/>
    <mergeCell ref="K5:M5"/>
    <mergeCell ref="A3:E3"/>
    <mergeCell ref="A11:D11"/>
    <mergeCell ref="A8:D8"/>
    <mergeCell ref="A5:D5"/>
    <mergeCell ref="H3:I3"/>
    <mergeCell ref="L3:M3"/>
    <mergeCell ref="G6:I7"/>
    <mergeCell ref="K6:M7"/>
  </mergeCells>
  <conditionalFormatting sqref="A6:C6">
    <cfRule type="dataBar" priority="8">
      <dataBar>
        <cfvo type="num" val="0"/>
        <cfvo type="num" val="10"/>
        <color theme="2" tint="-9.9978637043366805E-2"/>
      </dataBar>
      <extLst>
        <ext xmlns:x14="http://schemas.microsoft.com/office/spreadsheetml/2009/9/main" uri="{B025F937-C7B1-47D3-B67F-A62EFF666E3E}">
          <x14:id>{ADE86645-F7C7-4638-AB9C-5010244B8923}</x14:id>
        </ext>
      </extLst>
    </cfRule>
  </conditionalFormatting>
  <conditionalFormatting sqref="A9:C9">
    <cfRule type="dataBar" priority="7">
      <dataBar>
        <cfvo type="num" val="0"/>
        <cfvo type="num" val="10"/>
        <color theme="2" tint="-9.9978637043366805E-2"/>
      </dataBar>
      <extLst>
        <ext xmlns:x14="http://schemas.microsoft.com/office/spreadsheetml/2009/9/main" uri="{B025F937-C7B1-47D3-B67F-A62EFF666E3E}">
          <x14:id>{12F57D7A-C3FA-43D3-A603-2A1B742A6CFF}</x14:id>
        </ext>
      </extLst>
    </cfRule>
  </conditionalFormatting>
  <conditionalFormatting sqref="A12:C12">
    <cfRule type="dataBar" priority="6">
      <dataBar>
        <cfvo type="num" val="0"/>
        <cfvo type="num" val="10"/>
        <color theme="2" tint="-9.9978637043366805E-2"/>
      </dataBar>
      <extLst>
        <ext xmlns:x14="http://schemas.microsoft.com/office/spreadsheetml/2009/9/main" uri="{B025F937-C7B1-47D3-B67F-A62EFF666E3E}">
          <x14:id>{F2DFD7B0-1F11-49DD-A6AB-E9A2A497D6AE}</x14:id>
        </ext>
      </extLst>
    </cfRule>
  </conditionalFormatting>
  <conditionalFormatting sqref="A15:C15">
    <cfRule type="dataBar" priority="5">
      <dataBar>
        <cfvo type="num" val="0"/>
        <cfvo type="num" val="10"/>
        <color theme="2" tint="-9.9978637043366805E-2"/>
      </dataBar>
      <extLst>
        <ext xmlns:x14="http://schemas.microsoft.com/office/spreadsheetml/2009/9/main" uri="{B025F937-C7B1-47D3-B67F-A62EFF666E3E}">
          <x14:id>{CC8127FB-B562-4043-BBEA-1B447D7576FC}</x14:id>
        </ext>
      </extLst>
    </cfRule>
  </conditionalFormatting>
  <conditionalFormatting sqref="A18:C18">
    <cfRule type="dataBar" priority="4">
      <dataBar>
        <cfvo type="num" val="0"/>
        <cfvo type="num" val="10"/>
        <color theme="2" tint="-9.9978637043366805E-2"/>
      </dataBar>
      <extLst>
        <ext xmlns:x14="http://schemas.microsoft.com/office/spreadsheetml/2009/9/main" uri="{B025F937-C7B1-47D3-B67F-A62EFF666E3E}">
          <x14:id>{6065D44F-FADC-4DBD-9EA8-003A2A23F619}</x14:id>
        </ext>
      </extLst>
    </cfRule>
  </conditionalFormatting>
  <conditionalFormatting sqref="A21:C21">
    <cfRule type="dataBar" priority="3">
      <dataBar>
        <cfvo type="num" val="0"/>
        <cfvo type="num" val="10"/>
        <color theme="2" tint="-9.9978637043366805E-2"/>
      </dataBar>
      <extLst>
        <ext xmlns:x14="http://schemas.microsoft.com/office/spreadsheetml/2009/9/main" uri="{B025F937-C7B1-47D3-B67F-A62EFF666E3E}">
          <x14:id>{6E95669B-27B4-47E4-83E7-9F648FBA5B43}</x14:id>
        </ext>
      </extLst>
    </cfRule>
  </conditionalFormatting>
  <conditionalFormatting sqref="A24:C24">
    <cfRule type="dataBar" priority="2">
      <dataBar>
        <cfvo type="num" val="0"/>
        <cfvo type="num" val="10"/>
        <color theme="2" tint="-9.9978637043366805E-2"/>
      </dataBar>
      <extLst>
        <ext xmlns:x14="http://schemas.microsoft.com/office/spreadsheetml/2009/9/main" uri="{B025F937-C7B1-47D3-B67F-A62EFF666E3E}">
          <x14:id>{86D62828-F2DA-49DD-832A-416D8B93B573}</x14:id>
        </ext>
      </extLst>
    </cfRule>
  </conditionalFormatting>
  <conditionalFormatting sqref="A27:C27">
    <cfRule type="dataBar" priority="1">
      <dataBar>
        <cfvo type="num" val="0"/>
        <cfvo type="num" val="10"/>
        <color theme="2" tint="-9.9978637043366805E-2"/>
      </dataBar>
      <extLst>
        <ext xmlns:x14="http://schemas.microsoft.com/office/spreadsheetml/2009/9/main" uri="{B025F937-C7B1-47D3-B67F-A62EFF666E3E}">
          <x14:id>{E049E938-FCF4-4638-81C6-3973508A9163}</x14:id>
        </ext>
      </extLst>
    </cfRule>
  </conditionalFormatting>
  <conditionalFormatting sqref="O6">
    <cfRule type="colorScale" priority="16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O9">
    <cfRule type="colorScale" priority="15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O12">
    <cfRule type="colorScale" priority="14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O15">
    <cfRule type="colorScale" priority="1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O18">
    <cfRule type="colorScale" priority="1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O21">
    <cfRule type="colorScale" priority="1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O24">
    <cfRule type="colorScale" priority="10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O27">
    <cfRule type="colorScale" priority="9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9" r:id="rId3" name="Spinner 45">
              <controlPr locked="0" defaultSize="0" autoPict="0">
                <anchor moveWithCells="1" sizeWithCells="1">
                  <from>
                    <xdr:col>2</xdr:col>
                    <xdr:colOff>792480</xdr:colOff>
                    <xdr:row>4</xdr:row>
                    <xdr:rowOff>182880</xdr:rowOff>
                  </from>
                  <to>
                    <xdr:col>3</xdr:col>
                    <xdr:colOff>243840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4" name="Spinner 46">
              <controlPr locked="0" defaultSize="0" autoPict="0">
                <anchor moveWithCells="1" sizeWithCells="1">
                  <from>
                    <xdr:col>3</xdr:col>
                    <xdr:colOff>0</xdr:colOff>
                    <xdr:row>8</xdr:row>
                    <xdr:rowOff>0</xdr:rowOff>
                  </from>
                  <to>
                    <xdr:col>4</xdr:col>
                    <xdr:colOff>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5" name="Spinner 47">
              <controlPr locked="0" defaultSize="0" autoPict="0">
                <anchor moveWithCells="1" siz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6" name="Spinner 48">
              <controlPr locked="0" defaultSize="0" autoPict="0">
                <anchor moveWithCells="1" siz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7" name="Spinner 49">
              <controlPr locked="0" defaultSize="0" autoPict="0">
                <anchor moveWithCells="1" sizeWithCells="1">
                  <from>
                    <xdr:col>3</xdr:col>
                    <xdr:colOff>0</xdr:colOff>
                    <xdr:row>17</xdr:row>
                    <xdr:rowOff>0</xdr:rowOff>
                  </from>
                  <to>
                    <xdr:col>4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8" name="Spinner 50">
              <controlPr locked="0" defaultSize="0" autoPict="0">
                <anchor moveWithCells="1" sizeWithCells="1">
                  <from>
                    <xdr:col>3</xdr:col>
                    <xdr:colOff>0</xdr:colOff>
                    <xdr:row>20</xdr:row>
                    <xdr:rowOff>0</xdr:rowOff>
                  </from>
                  <to>
                    <xdr:col>4</xdr:col>
                    <xdr:colOff>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9" name="Spinner 51">
              <controlPr locked="0" defaultSize="0" autoPict="0">
                <anchor moveWithCells="1" sizeWithCells="1">
                  <from>
                    <xdr:col>3</xdr:col>
                    <xdr:colOff>0</xdr:colOff>
                    <xdr:row>23</xdr:row>
                    <xdr:rowOff>0</xdr:rowOff>
                  </from>
                  <to>
                    <xdr:col>4</xdr:col>
                    <xdr:colOff>0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0" name="Spinner 52">
              <controlPr locked="0" defaultSize="0" autoPict="0">
                <anchor moveWithCells="1" sizeWithCells="1">
                  <from>
                    <xdr:col>3</xdr:col>
                    <xdr:colOff>0</xdr:colOff>
                    <xdr:row>26</xdr:row>
                    <xdr:rowOff>0</xdr:rowOff>
                  </from>
                  <to>
                    <xdr:col>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E86645-F7C7-4638-AB9C-5010244B8923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A6:C6</xm:sqref>
        </x14:conditionalFormatting>
        <x14:conditionalFormatting xmlns:xm="http://schemas.microsoft.com/office/excel/2006/main">
          <x14:cfRule type="dataBar" id="{12F57D7A-C3FA-43D3-A603-2A1B742A6CFF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A9:C9</xm:sqref>
        </x14:conditionalFormatting>
        <x14:conditionalFormatting xmlns:xm="http://schemas.microsoft.com/office/excel/2006/main">
          <x14:cfRule type="dataBar" id="{F2DFD7B0-1F11-49DD-A6AB-E9A2A497D6AE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A12:C12</xm:sqref>
        </x14:conditionalFormatting>
        <x14:conditionalFormatting xmlns:xm="http://schemas.microsoft.com/office/excel/2006/main">
          <x14:cfRule type="dataBar" id="{CC8127FB-B562-4043-BBEA-1B447D7576FC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A15:C15</xm:sqref>
        </x14:conditionalFormatting>
        <x14:conditionalFormatting xmlns:xm="http://schemas.microsoft.com/office/excel/2006/main">
          <x14:cfRule type="dataBar" id="{6065D44F-FADC-4DBD-9EA8-003A2A23F619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A18:C18</xm:sqref>
        </x14:conditionalFormatting>
        <x14:conditionalFormatting xmlns:xm="http://schemas.microsoft.com/office/excel/2006/main">
          <x14:cfRule type="dataBar" id="{6E95669B-27B4-47E4-83E7-9F648FBA5B43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A21:C21</xm:sqref>
        </x14:conditionalFormatting>
        <x14:conditionalFormatting xmlns:xm="http://schemas.microsoft.com/office/excel/2006/main">
          <x14:cfRule type="dataBar" id="{86D62828-F2DA-49DD-832A-416D8B93B573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A24:C24</xm:sqref>
        </x14:conditionalFormatting>
        <x14:conditionalFormatting xmlns:xm="http://schemas.microsoft.com/office/excel/2006/main">
          <x14:cfRule type="dataBar" id="{E049E938-FCF4-4638-81C6-3973508A9163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A27:C27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6B39589-F79B-4CBF-A8C7-E6D14F7CB169}">
          <x14:formula1>
            <xm:f>'Best Country (help)'!$B$5:$B$6</xm:f>
          </x14:formula1>
          <xm:sqref>L3:M3</xm:sqref>
        </x14:dataValidation>
        <x14:dataValidation type="list" allowBlank="1" showInputMessage="1" showErrorMessage="1" xr:uid="{32F34848-984C-48D7-89B1-308961CF9ACC}">
          <x14:formula1>
            <xm:f>'Best Country (help)'!$A$5:$A$11</xm:f>
          </x14:formula1>
          <xm:sqref>H3:I3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F69E6-089D-4BD7-AC58-C1596C3E6256}">
  <sheetPr>
    <tabColor theme="6" tint="0.79998168889431442"/>
  </sheetPr>
  <dimension ref="A1:Y238"/>
  <sheetViews>
    <sheetView workbookViewId="0">
      <selection activeCell="D5" sqref="D5"/>
    </sheetView>
  </sheetViews>
  <sheetFormatPr baseColWidth="10" defaultColWidth="13.33203125" defaultRowHeight="14.4" x14ac:dyDescent="0.3"/>
  <cols>
    <col min="3" max="3" width="2.6640625" customWidth="1"/>
    <col min="6" max="6" width="2.6640625" customWidth="1"/>
    <col min="7" max="7" width="13.33203125" customWidth="1"/>
    <col min="9" max="9" width="13.33203125" style="3"/>
    <col min="11" max="11" width="13.33203125" customWidth="1"/>
  </cols>
  <sheetData>
    <row r="1" spans="1:25" s="1" customFormat="1" x14ac:dyDescent="0.3">
      <c r="A1" t="s">
        <v>758</v>
      </c>
      <c r="B1">
        <v>2</v>
      </c>
      <c r="G1" s="1" t="s">
        <v>3</v>
      </c>
      <c r="H1" s="1" t="s">
        <v>2</v>
      </c>
      <c r="I1" s="2" t="s">
        <v>719</v>
      </c>
      <c r="J1" s="1" t="s">
        <v>721</v>
      </c>
      <c r="K1" s="1" t="s">
        <v>732</v>
      </c>
      <c r="L1" s="1" t="s">
        <v>722</v>
      </c>
      <c r="M1" s="1" t="s">
        <v>732</v>
      </c>
      <c r="N1" s="1" t="s">
        <v>723</v>
      </c>
      <c r="O1" s="1" t="s">
        <v>732</v>
      </c>
      <c r="P1" s="1" t="s">
        <v>724</v>
      </c>
      <c r="Q1" s="1" t="s">
        <v>732</v>
      </c>
      <c r="R1" s="1" t="s">
        <v>729</v>
      </c>
      <c r="S1" s="1" t="s">
        <v>732</v>
      </c>
      <c r="T1" s="1" t="s">
        <v>726</v>
      </c>
      <c r="U1" s="1" t="s">
        <v>732</v>
      </c>
      <c r="V1" s="1" t="s">
        <v>727</v>
      </c>
      <c r="W1" s="1" t="s">
        <v>732</v>
      </c>
      <c r="X1" s="1" t="s">
        <v>728</v>
      </c>
      <c r="Y1" s="1" t="s">
        <v>732</v>
      </c>
    </row>
    <row r="2" spans="1:25" x14ac:dyDescent="0.3">
      <c r="D2" s="49" t="s">
        <v>745</v>
      </c>
      <c r="E2" s="49"/>
      <c r="H2" t="s">
        <v>731</v>
      </c>
      <c r="J2">
        <f>MAX(_xlfn.ANCHORARRAY(J5))</f>
        <v>0.63025719999999996</v>
      </c>
      <c r="L2">
        <f>MAX(_xlfn.ANCHORARRAY(L5))</f>
        <v>0.97199999999999998</v>
      </c>
      <c r="N2">
        <f>MAX(_xlfn.ANCHORARRAY(N5))</f>
        <v>85.706000000000003</v>
      </c>
      <c r="P2">
        <f>MAX(_xlfn.ANCHORARRAY(P5))</f>
        <v>260696</v>
      </c>
      <c r="R2">
        <f>MAX(_xlfn.ANCHORARRAY(R5))</f>
        <v>94.3</v>
      </c>
      <c r="T2">
        <f>MAX(_xlfn.ANCHORARRAY(T5))</f>
        <v>85.2</v>
      </c>
      <c r="V2">
        <f>MAX(_xlfn.ANCHORARRAY(V5))</f>
        <v>87</v>
      </c>
      <c r="X2">
        <f>MAX(_xlfn.ANCHORARRAY(X5))</f>
        <v>7.7359999999999998</v>
      </c>
    </row>
    <row r="3" spans="1:25" x14ac:dyDescent="0.3">
      <c r="A3" t="s">
        <v>746</v>
      </c>
      <c r="B3" t="s">
        <v>751</v>
      </c>
      <c r="D3" t="s">
        <v>2</v>
      </c>
      <c r="E3" t="s">
        <v>744</v>
      </c>
      <c r="H3" t="s">
        <v>730</v>
      </c>
      <c r="J3">
        <f>MIN(_xlfn.ANCHORARRAY(J5))</f>
        <v>0.24078926</v>
      </c>
      <c r="L3">
        <f>MIN(_xlfn.ANCHORARRAY(L5))</f>
        <v>0.38800000000000001</v>
      </c>
      <c r="N3">
        <f>MIN(_xlfn.ANCHORARRAY(N5))</f>
        <v>54.462000000000003</v>
      </c>
      <c r="P3">
        <f>MIN(_xlfn.ANCHORARRAY(P5))</f>
        <v>328</v>
      </c>
      <c r="R3">
        <f>MIN(_xlfn.ANCHORARRAY(R5))</f>
        <v>11.3</v>
      </c>
      <c r="T3">
        <f>MIN(_xlfn.ANCHORARRAY(T5))</f>
        <v>19.5</v>
      </c>
      <c r="V3">
        <f>MIN(_xlfn.ANCHORARRAY(V5))</f>
        <v>39.6</v>
      </c>
      <c r="X3">
        <f>MIN(_xlfn.ANCHORARRAY(X5))</f>
        <v>1.3640000000000001</v>
      </c>
    </row>
    <row r="5" spans="1:25" x14ac:dyDescent="0.3">
      <c r="A5" t="s">
        <v>752</v>
      </c>
      <c r="B5" t="s">
        <v>747</v>
      </c>
      <c r="D5" t="str" cm="1">
        <f t="array" ref="D5:D81">_xlfn._xlws.FILTER(_xlfn.ANCHORARRAY(H5), I5:I238&lt;&gt;"")</f>
        <v>Albania</v>
      </c>
      <c r="E5" cm="1">
        <f t="array" ref="E5:E81">ROUND(_xlfn._xlws.FILTER(I5:I238*100, I5:I238&lt;&gt;""), B1)</f>
        <v>62.09</v>
      </c>
      <c r="G5" t="str" cm="1">
        <f t="array" ref="G5:G238">main_table[Continent]</f>
        <v>Asia</v>
      </c>
      <c r="H5" t="str" cm="1">
        <f t="array" ref="H5:H238">main_table[Country]</f>
        <v>Afghanistan</v>
      </c>
      <c r="I5" s="3" t="str">
        <f>IFERROR((
K5*'Best Country'!$E$12+
M5*'Best Country'!$E$15+
O5*'Best Country'!$E$18+
Q5*'Best Country'!$E$9+
S5*'Best Country'!$E$6+
U5*'Best Country'!$E$21+
W5*'Best Country'!$E$24+
Y5*'Best Country'!$E$27
)/SUM('Best Country'!$E$5:$E$28), "")</f>
        <v/>
      </c>
      <c r="J5" t="str" cm="1">
        <f t="array" ref="J5:J238">IF(main_table[Gini-Coefficient (2021 prices; income or consumption consolid)]&lt;&gt;0, main_table[Gini-Coefficient (2021 prices; income or consumption consolid)], "")</f>
        <v/>
      </c>
      <c r="K5" t="str">
        <f>IFERROR(1-(J5-J$3)/(J$2-J$3), "")</f>
        <v/>
      </c>
      <c r="L5" cm="1">
        <f t="array" ref="L5:L238">IF(main_table[HDI (2023)]&lt;&gt;0, main_table[HDI (2023)], "")</f>
        <v>0.496</v>
      </c>
      <c r="M5">
        <f>IFERROR((L5-L$3)/(L$2-L$3), "")</f>
        <v>0.18493150684931506</v>
      </c>
      <c r="N5" cm="1">
        <f t="array" ref="N5:N238">IF(main_table[Years of life expectancy at birth (2023)]&lt;&gt;0, main_table[Years of life expectancy at birth (2023)], "")</f>
        <v>66.034999999999997</v>
      </c>
      <c r="O5">
        <f>IFERROR((N5-N$3)/(N$2-N$3), "")</f>
        <v>0.37040711816668781</v>
      </c>
      <c r="P5" cm="1">
        <f t="array" ref="P5:P238">IF(main_table[GDP per capita (USD)]&lt;&gt;0, main_table[GDP per capita (USD)], "")</f>
        <v>374</v>
      </c>
      <c r="Q5">
        <f>IFERROR((P5-P$3)/(P$2-P$3), "")</f>
        <v>1.7667301665335217E-4</v>
      </c>
      <c r="R5" cm="1">
        <f t="array" ref="R5:R238">IF(main_table[Cost of Living Plus Rent Index]&lt;&gt;0, main_table[Cost of Living Plus Rent Index], "")</f>
        <v>11.6</v>
      </c>
      <c r="S5">
        <f>IFERROR(1-(R5-R$3)/(R$2-R$3), "")</f>
        <v>0.9963855421686747</v>
      </c>
      <c r="T5" t="str" cm="1">
        <f t="array" ref="T5:T238">IF(main_table[Safety Index], main_table[Safety Index], "")</f>
        <v/>
      </c>
      <c r="U5" t="str">
        <f>IFERROR((T5-T$3)/(T$2-T$3), "")</f>
        <v/>
      </c>
      <c r="V5" t="str" cm="1">
        <f t="array" ref="V5:V238">IF(main_table[Health Care Index]&lt;&gt;0, main_table[Health Care Index], "")</f>
        <v/>
      </c>
      <c r="W5" t="str">
        <f>IFERROR(1-(V5-V$3)/(V$2-V$3), "")</f>
        <v/>
      </c>
      <c r="X5" cm="1">
        <f t="array" ref="X5:X238">IF(main_table[Word Happieness Report (life evaluation; 3-year-average)]&lt;&gt;0, main_table[Word Happieness Report (life evaluation; 3-year-average)], "")</f>
        <v>1.3640000000000001</v>
      </c>
      <c r="Y5">
        <f>IFERROR((X5-X$3)/(X$2-X$3), "")</f>
        <v>0</v>
      </c>
    </row>
    <row r="6" spans="1:25" x14ac:dyDescent="0.3">
      <c r="A6" t="s">
        <v>49</v>
      </c>
      <c r="B6" t="s">
        <v>748</v>
      </c>
      <c r="D6" t="str">
        <v>Argentina</v>
      </c>
      <c r="E6">
        <v>58.02</v>
      </c>
      <c r="G6" t="str">
        <v>Europe</v>
      </c>
      <c r="H6" t="str">
        <v>Albania</v>
      </c>
      <c r="I6" s="3">
        <f>IFERROR((
K6*'Best Country'!$E$12+
M6*'Best Country'!$E$15+
O6*'Best Country'!$E$18+
Q6*'Best Country'!$E$9+
S6*'Best Country'!$E$6+
U6*'Best Country'!$E$21+
W6*'Best Country'!$E$24+
Y6*'Best Country'!$E$27
)/SUM('Best Country'!$E$5:$E$28), "")</f>
        <v>0.6209082896453102</v>
      </c>
      <c r="J6">
        <v>0.29419630000000002</v>
      </c>
      <c r="K6" s="4">
        <f t="shared" ref="K6:K69" si="0">IFERROR(1-(J6-J$3)/(J$2-J$3), "")</f>
        <v>0.86287179376048251</v>
      </c>
      <c r="L6">
        <v>0.81</v>
      </c>
      <c r="M6">
        <f t="shared" ref="M6:M69" si="1">IFERROR((L6-L$3)/(L$2-L$3), "")</f>
        <v>0.72260273972602751</v>
      </c>
      <c r="N6">
        <v>79.602000000000004</v>
      </c>
      <c r="O6">
        <f t="shared" ref="O6:O69" si="2">IFERROR((N6-N$3)/(N$2-N$3), "")</f>
        <v>0.80463448982204588</v>
      </c>
      <c r="P6">
        <v>10237</v>
      </c>
      <c r="Q6">
        <f t="shared" ref="Q6:Q69" si="3">IFERROR((P6-P$3)/(P$2-P$3), "")</f>
        <v>3.8057672217784062E-2</v>
      </c>
      <c r="R6">
        <v>31.3</v>
      </c>
      <c r="S6">
        <f t="shared" ref="S6:S69" si="4">IFERROR(1-(R6-R$3)/(R$2-R$3), "")</f>
        <v>0.75903614457831325</v>
      </c>
      <c r="T6">
        <v>55.8</v>
      </c>
      <c r="U6">
        <f t="shared" ref="U6:U69" si="5">IFERROR((T6-T$3)/(T$2-T$3), "")</f>
        <v>0.55251141552511407</v>
      </c>
      <c r="V6">
        <v>48.2</v>
      </c>
      <c r="W6">
        <f t="shared" ref="W6:W69" si="6">IFERROR(1-(V6-V$3)/(V$2-V$3), "")</f>
        <v>0.81856540084388185</v>
      </c>
      <c r="X6">
        <v>5.4109999999999996</v>
      </c>
      <c r="Y6">
        <f t="shared" ref="Y6:Y69" si="7">IFERROR((X6-X$3)/(X$2-X$3), "")</f>
        <v>0.63512241054613927</v>
      </c>
    </row>
    <row r="7" spans="1:25" x14ac:dyDescent="0.3">
      <c r="A7" t="s">
        <v>41</v>
      </c>
      <c r="D7" t="str">
        <v>Armenia</v>
      </c>
      <c r="E7">
        <v>63.04</v>
      </c>
      <c r="G7" t="str">
        <v>Africa</v>
      </c>
      <c r="H7" t="str">
        <v>Algeria</v>
      </c>
      <c r="I7" s="3" t="str">
        <f>IFERROR((
K7*'Best Country'!$E$12+
M7*'Best Country'!$E$15+
O7*'Best Country'!$E$18+
Q7*'Best Country'!$E$9+
S7*'Best Country'!$E$6+
U7*'Best Country'!$E$21+
W7*'Best Country'!$E$24+
Y7*'Best Country'!$E$27
)/SUM('Best Country'!$E$5:$E$28), "")</f>
        <v/>
      </c>
      <c r="J7">
        <v>0.27615731999999998</v>
      </c>
      <c r="K7">
        <f t="shared" si="0"/>
        <v>0.90918877687339306</v>
      </c>
      <c r="L7">
        <v>0.76300000000000001</v>
      </c>
      <c r="M7">
        <f t="shared" si="1"/>
        <v>0.64212328767123295</v>
      </c>
      <c r="N7">
        <v>76.260999999999996</v>
      </c>
      <c r="O7">
        <f t="shared" si="2"/>
        <v>0.69770195877608476</v>
      </c>
      <c r="P7">
        <v>5668</v>
      </c>
      <c r="Q7">
        <f t="shared" si="3"/>
        <v>2.0509432802802187E-2</v>
      </c>
      <c r="R7">
        <v>16.7</v>
      </c>
      <c r="S7">
        <f t="shared" si="4"/>
        <v>0.93493975903614457</v>
      </c>
      <c r="T7" t="str">
        <v/>
      </c>
      <c r="U7" t="str">
        <f t="shared" si="5"/>
        <v/>
      </c>
      <c r="V7" t="str">
        <v/>
      </c>
      <c r="W7" t="str">
        <f t="shared" si="6"/>
        <v/>
      </c>
      <c r="X7">
        <v>5.5709999999999997</v>
      </c>
      <c r="Y7">
        <f t="shared" si="7"/>
        <v>0.66023226616446951</v>
      </c>
    </row>
    <row r="8" spans="1:25" x14ac:dyDescent="0.3">
      <c r="A8" t="s">
        <v>45</v>
      </c>
      <c r="D8" t="str">
        <v>Australia</v>
      </c>
      <c r="E8">
        <v>68.44</v>
      </c>
      <c r="G8" t="str">
        <v>Oceania</v>
      </c>
      <c r="H8" t="str">
        <v>American Samoa</v>
      </c>
      <c r="I8" s="3" t="str">
        <f>IFERROR((
K8*'Best Country'!$E$12+
M8*'Best Country'!$E$15+
O8*'Best Country'!$E$18+
Q8*'Best Country'!$E$9+
S8*'Best Country'!$E$6+
U8*'Best Country'!$E$21+
W8*'Best Country'!$E$24+
Y8*'Best Country'!$E$27
)/SUM('Best Country'!$E$5:$E$28), "")</f>
        <v/>
      </c>
      <c r="J8" t="str">
        <v/>
      </c>
      <c r="K8" t="str">
        <f t="shared" si="0"/>
        <v/>
      </c>
      <c r="L8" t="str">
        <v/>
      </c>
      <c r="M8" t="str">
        <f t="shared" si="1"/>
        <v/>
      </c>
      <c r="N8" t="str">
        <v/>
      </c>
      <c r="O8" t="str">
        <f t="shared" si="2"/>
        <v/>
      </c>
      <c r="P8" t="str">
        <v/>
      </c>
      <c r="Q8" t="str">
        <f t="shared" si="3"/>
        <v/>
      </c>
      <c r="R8" t="str">
        <v/>
      </c>
      <c r="S8" t="str">
        <f t="shared" si="4"/>
        <v/>
      </c>
      <c r="T8" t="str">
        <v/>
      </c>
      <c r="U8" t="str">
        <f t="shared" si="5"/>
        <v/>
      </c>
      <c r="V8" t="str">
        <v/>
      </c>
      <c r="W8" t="str">
        <f t="shared" si="6"/>
        <v/>
      </c>
      <c r="X8" t="str">
        <v/>
      </c>
      <c r="Y8" t="str">
        <f t="shared" si="7"/>
        <v/>
      </c>
    </row>
    <row r="9" spans="1:25" x14ac:dyDescent="0.3">
      <c r="A9" t="s">
        <v>60</v>
      </c>
      <c r="D9" t="str">
        <v>Austria</v>
      </c>
      <c r="E9">
        <v>68.8</v>
      </c>
      <c r="G9" t="str">
        <v>Europe</v>
      </c>
      <c r="H9" t="str">
        <v>Andorra</v>
      </c>
      <c r="I9" s="3" t="str">
        <f>IFERROR((
K9*'Best Country'!$E$12+
M9*'Best Country'!$E$15+
O9*'Best Country'!$E$18+
Q9*'Best Country'!$E$9+
S9*'Best Country'!$E$6+
U9*'Best Country'!$E$21+
W9*'Best Country'!$E$24+
Y9*'Best Country'!$E$27
)/SUM('Best Country'!$E$5:$E$28), "")</f>
        <v/>
      </c>
      <c r="J9" t="str">
        <v/>
      </c>
      <c r="K9" t="str">
        <f t="shared" si="0"/>
        <v/>
      </c>
      <c r="L9">
        <v>0.91300000000000003</v>
      </c>
      <c r="M9">
        <f t="shared" si="1"/>
        <v>0.89897260273972612</v>
      </c>
      <c r="N9">
        <v>84.040999999999997</v>
      </c>
      <c r="O9">
        <f t="shared" si="2"/>
        <v>0.94670976827550868</v>
      </c>
      <c r="P9">
        <v>48671</v>
      </c>
      <c r="Q9">
        <f t="shared" si="3"/>
        <v>0.18567181834941313</v>
      </c>
      <c r="R9" t="str">
        <v/>
      </c>
      <c r="S9" t="str">
        <f t="shared" si="4"/>
        <v/>
      </c>
      <c r="T9" t="str">
        <v/>
      </c>
      <c r="U9" t="str">
        <f t="shared" si="5"/>
        <v/>
      </c>
      <c r="V9" t="str">
        <v/>
      </c>
      <c r="W9" t="str">
        <f t="shared" si="6"/>
        <v/>
      </c>
      <c r="X9" t="str">
        <v/>
      </c>
      <c r="Y9" t="str">
        <f t="shared" si="7"/>
        <v/>
      </c>
    </row>
    <row r="10" spans="1:25" x14ac:dyDescent="0.3">
      <c r="A10" t="s">
        <v>52</v>
      </c>
      <c r="D10" t="str">
        <v>Bangladesh</v>
      </c>
      <c r="E10">
        <v>51.32</v>
      </c>
      <c r="G10" t="str">
        <v>Africa</v>
      </c>
      <c r="H10" t="str">
        <v>Angola</v>
      </c>
      <c r="I10" s="3" t="str">
        <f>IFERROR((
K10*'Best Country'!$E$12+
M10*'Best Country'!$E$15+
O10*'Best Country'!$E$18+
Q10*'Best Country'!$E$9+
S10*'Best Country'!$E$6+
U10*'Best Country'!$E$21+
W10*'Best Country'!$E$24+
Y10*'Best Country'!$E$27
)/SUM('Best Country'!$E$5:$E$28), "")</f>
        <v/>
      </c>
      <c r="J10">
        <v>0.51264286000000003</v>
      </c>
      <c r="K10">
        <f t="shared" si="0"/>
        <v>0.30198721876825074</v>
      </c>
      <c r="L10">
        <v>0.61599999999999999</v>
      </c>
      <c r="M10">
        <f t="shared" si="1"/>
        <v>0.3904109589041096</v>
      </c>
      <c r="N10">
        <v>64.617000000000004</v>
      </c>
      <c r="O10">
        <f t="shared" si="2"/>
        <v>0.32502240430162593</v>
      </c>
      <c r="P10">
        <v>2903</v>
      </c>
      <c r="Q10">
        <f t="shared" si="3"/>
        <v>9.8898482148343878E-3</v>
      </c>
      <c r="R10" t="str">
        <v/>
      </c>
      <c r="S10" t="str">
        <f t="shared" si="4"/>
        <v/>
      </c>
      <c r="T10" t="str">
        <v/>
      </c>
      <c r="U10" t="str">
        <f t="shared" si="5"/>
        <v/>
      </c>
      <c r="V10" t="str">
        <v/>
      </c>
      <c r="W10" t="str">
        <f t="shared" si="6"/>
        <v/>
      </c>
      <c r="X10" t="str">
        <v/>
      </c>
      <c r="Y10" t="str">
        <f t="shared" si="7"/>
        <v/>
      </c>
    </row>
    <row r="11" spans="1:25" x14ac:dyDescent="0.3">
      <c r="A11" t="s">
        <v>66</v>
      </c>
      <c r="D11" t="str">
        <v>Belgium</v>
      </c>
      <c r="E11">
        <v>69.010000000000005</v>
      </c>
      <c r="G11" t="str">
        <v>North America</v>
      </c>
      <c r="H11" t="str">
        <v>Anguilla</v>
      </c>
      <c r="I11" s="3" t="str">
        <f>IFERROR((
K11*'Best Country'!$E$12+
M11*'Best Country'!$E$15+
O11*'Best Country'!$E$18+
Q11*'Best Country'!$E$9+
S11*'Best Country'!$E$6+
U11*'Best Country'!$E$21+
W11*'Best Country'!$E$24+
Y11*'Best Country'!$E$27
)/SUM('Best Country'!$E$5:$E$28), "")</f>
        <v/>
      </c>
      <c r="J11" t="str">
        <v/>
      </c>
      <c r="K11" t="str">
        <f t="shared" si="0"/>
        <v/>
      </c>
      <c r="L11" t="str">
        <v/>
      </c>
      <c r="M11" t="str">
        <f t="shared" si="1"/>
        <v/>
      </c>
      <c r="N11" t="str">
        <v/>
      </c>
      <c r="O11" t="str">
        <f t="shared" si="2"/>
        <v/>
      </c>
      <c r="P11">
        <v>28228</v>
      </c>
      <c r="Q11">
        <f t="shared" si="3"/>
        <v>0.10715602531801142</v>
      </c>
      <c r="R11" t="str">
        <v/>
      </c>
      <c r="S11" t="str">
        <f t="shared" si="4"/>
        <v/>
      </c>
      <c r="T11" t="str">
        <v/>
      </c>
      <c r="U11" t="str">
        <f t="shared" si="5"/>
        <v/>
      </c>
      <c r="V11" t="str">
        <v/>
      </c>
      <c r="W11" t="str">
        <f t="shared" si="6"/>
        <v/>
      </c>
      <c r="X11" t="str">
        <v/>
      </c>
      <c r="Y11" t="str">
        <f t="shared" si="7"/>
        <v/>
      </c>
    </row>
    <row r="12" spans="1:25" x14ac:dyDescent="0.3">
      <c r="D12" t="str">
        <v>Bosnia and Herzegovina</v>
      </c>
      <c r="E12">
        <v>62.97</v>
      </c>
      <c r="G12" t="str">
        <v>North America</v>
      </c>
      <c r="H12" t="str">
        <v>Antigua and Barbuda</v>
      </c>
      <c r="I12" s="3" t="str">
        <f>IFERROR((
K12*'Best Country'!$E$12+
M12*'Best Country'!$E$15+
O12*'Best Country'!$E$18+
Q12*'Best Country'!$E$9+
S12*'Best Country'!$E$6+
U12*'Best Country'!$E$21+
W12*'Best Country'!$E$24+
Y12*'Best Country'!$E$27
)/SUM('Best Country'!$E$5:$E$28), "")</f>
        <v/>
      </c>
      <c r="J12" t="str">
        <v/>
      </c>
      <c r="K12" t="str">
        <f t="shared" si="0"/>
        <v/>
      </c>
      <c r="L12">
        <v>0.85099999999999998</v>
      </c>
      <c r="M12">
        <f t="shared" si="1"/>
        <v>0.7928082191780822</v>
      </c>
      <c r="N12">
        <v>77.597999999999999</v>
      </c>
      <c r="O12">
        <f t="shared" si="2"/>
        <v>0.74049417488157709</v>
      </c>
      <c r="P12">
        <v>25189</v>
      </c>
      <c r="Q12">
        <f t="shared" si="3"/>
        <v>9.5484084065630179E-2</v>
      </c>
      <c r="R12" t="str">
        <v/>
      </c>
      <c r="S12" t="str">
        <f t="shared" si="4"/>
        <v/>
      </c>
      <c r="T12" t="str">
        <v/>
      </c>
      <c r="U12" t="str">
        <f t="shared" si="5"/>
        <v/>
      </c>
      <c r="V12" t="str">
        <v/>
      </c>
      <c r="W12" t="str">
        <f t="shared" si="6"/>
        <v/>
      </c>
      <c r="X12" t="str">
        <v/>
      </c>
      <c r="Y12" t="str">
        <f t="shared" si="7"/>
        <v/>
      </c>
    </row>
    <row r="13" spans="1:25" x14ac:dyDescent="0.3">
      <c r="D13" t="str">
        <v>Brazil</v>
      </c>
      <c r="E13">
        <v>54.54</v>
      </c>
      <c r="G13" t="str">
        <v>South America</v>
      </c>
      <c r="H13" t="str">
        <v>Argentina</v>
      </c>
      <c r="I13" s="3">
        <f>IFERROR((
K13*'Best Country'!$E$12+
M13*'Best Country'!$E$15+
O13*'Best Country'!$E$18+
Q13*'Best Country'!$E$9+
S13*'Best Country'!$E$6+
U13*'Best Country'!$E$21+
W13*'Best Country'!$E$24+
Y13*'Best Country'!$E$27
)/SUM('Best Country'!$E$5:$E$28), "")</f>
        <v>0.58018313659419574</v>
      </c>
      <c r="J13">
        <v>0.42390974999999997</v>
      </c>
      <c r="K13">
        <f t="shared" si="0"/>
        <v>0.52981883438210597</v>
      </c>
      <c r="L13">
        <v>0.86499999999999999</v>
      </c>
      <c r="M13">
        <f t="shared" si="1"/>
        <v>0.81678082191780821</v>
      </c>
      <c r="N13">
        <v>77.394999999999996</v>
      </c>
      <c r="O13">
        <f t="shared" si="2"/>
        <v>0.73399692741006251</v>
      </c>
      <c r="P13">
        <v>14908</v>
      </c>
      <c r="Q13">
        <f t="shared" si="3"/>
        <v>5.5997664843605972E-2</v>
      </c>
      <c r="R13">
        <v>26.6</v>
      </c>
      <c r="S13">
        <f t="shared" si="4"/>
        <v>0.81566265060240961</v>
      </c>
      <c r="T13">
        <v>36.700000000000003</v>
      </c>
      <c r="U13">
        <f t="shared" si="5"/>
        <v>0.26179604261796047</v>
      </c>
      <c r="V13">
        <v>67.900000000000006</v>
      </c>
      <c r="W13">
        <f t="shared" si="6"/>
        <v>0.40295358649789015</v>
      </c>
      <c r="X13">
        <v>6.3970000000000002</v>
      </c>
      <c r="Y13">
        <f t="shared" si="7"/>
        <v>0.78986189579409927</v>
      </c>
    </row>
    <row r="14" spans="1:25" x14ac:dyDescent="0.3">
      <c r="A14" t="s">
        <v>753</v>
      </c>
      <c r="B14" t="s">
        <v>754</v>
      </c>
      <c r="D14" t="str">
        <v>Bulgaria</v>
      </c>
      <c r="E14">
        <v>60.41</v>
      </c>
      <c r="G14" t="str">
        <v>Asia</v>
      </c>
      <c r="H14" t="str">
        <v>Armenia</v>
      </c>
      <c r="I14" s="3">
        <f>IFERROR((
K14*'Best Country'!$E$12+
M14*'Best Country'!$E$15+
O14*'Best Country'!$E$18+
Q14*'Best Country'!$E$9+
S14*'Best Country'!$E$6+
U14*'Best Country'!$E$21+
W14*'Best Country'!$E$24+
Y14*'Best Country'!$E$27
)/SUM('Best Country'!$E$5:$E$28), "")</f>
        <v>0.63036996718036531</v>
      </c>
      <c r="J14">
        <v>0.27154650000000002</v>
      </c>
      <c r="K14">
        <f t="shared" si="0"/>
        <v>0.92102754337109227</v>
      </c>
      <c r="L14">
        <v>0.81100000000000005</v>
      </c>
      <c r="M14">
        <f t="shared" si="1"/>
        <v>0.72431506849315075</v>
      </c>
      <c r="N14">
        <v>75.683000000000007</v>
      </c>
      <c r="O14">
        <f t="shared" si="2"/>
        <v>0.67920240686211764</v>
      </c>
      <c r="P14">
        <v>8894</v>
      </c>
      <c r="Q14">
        <f t="shared" si="3"/>
        <v>3.2899588275056846E-2</v>
      </c>
      <c r="R14">
        <v>29.7</v>
      </c>
      <c r="S14">
        <f t="shared" si="4"/>
        <v>0.77831325301204823</v>
      </c>
      <c r="T14">
        <v>77.599999999999994</v>
      </c>
      <c r="U14">
        <f t="shared" si="5"/>
        <v>0.88432267884322668</v>
      </c>
      <c r="V14">
        <v>60</v>
      </c>
      <c r="W14">
        <f t="shared" si="6"/>
        <v>0.569620253164557</v>
      </c>
      <c r="X14">
        <v>5.4939999999999998</v>
      </c>
      <c r="Y14">
        <f t="shared" si="7"/>
        <v>0.64814814814814814</v>
      </c>
    </row>
    <row r="15" spans="1:25" x14ac:dyDescent="0.3">
      <c r="A15" t="str" cm="1">
        <f t="array" ref="A15">_xlfn.XLOOKUP(B15,_xlfn.ANCHORARRAY( B37),_xlfn.ANCHORARRAY( A37))</f>
        <v>Iceland</v>
      </c>
      <c r="B15">
        <f>MAX(_xlfn.ANCHORARRAY(B37))</f>
        <v>73.81</v>
      </c>
      <c r="D15" t="str">
        <v>Canada</v>
      </c>
      <c r="E15">
        <v>68.56</v>
      </c>
      <c r="G15" t="str">
        <v>North America</v>
      </c>
      <c r="H15" t="str">
        <v>Aruba</v>
      </c>
      <c r="I15" s="3" t="str">
        <f>IFERROR((
K15*'Best Country'!$E$12+
M15*'Best Country'!$E$15+
O15*'Best Country'!$E$18+
Q15*'Best Country'!$E$9+
S15*'Best Country'!$E$6+
U15*'Best Country'!$E$21+
W15*'Best Country'!$E$24+
Y15*'Best Country'!$E$27
)/SUM('Best Country'!$E$5:$E$28), "")</f>
        <v/>
      </c>
      <c r="J15" t="str">
        <v/>
      </c>
      <c r="K15" t="str">
        <f t="shared" si="0"/>
        <v/>
      </c>
      <c r="L15" t="str">
        <v/>
      </c>
      <c r="M15" t="str">
        <f t="shared" si="1"/>
        <v/>
      </c>
      <c r="N15" t="str">
        <v/>
      </c>
      <c r="O15" t="str">
        <f t="shared" si="2"/>
        <v/>
      </c>
      <c r="P15">
        <v>37911</v>
      </c>
      <c r="Q15">
        <f t="shared" si="3"/>
        <v>0.14434569532354205</v>
      </c>
      <c r="R15" t="str">
        <v/>
      </c>
      <c r="S15" t="str">
        <f t="shared" si="4"/>
        <v/>
      </c>
      <c r="T15" t="str">
        <v/>
      </c>
      <c r="U15" t="str">
        <f t="shared" si="5"/>
        <v/>
      </c>
      <c r="V15" t="str">
        <v/>
      </c>
      <c r="W15" t="str">
        <f t="shared" si="6"/>
        <v/>
      </c>
      <c r="X15" t="str">
        <v/>
      </c>
      <c r="Y15" t="str">
        <f t="shared" si="7"/>
        <v/>
      </c>
    </row>
    <row r="16" spans="1:25" x14ac:dyDescent="0.3">
      <c r="D16" t="str">
        <v>Chile</v>
      </c>
      <c r="E16">
        <v>60.71</v>
      </c>
      <c r="G16" t="str">
        <v>Oceania</v>
      </c>
      <c r="H16" t="str">
        <v>Australia</v>
      </c>
      <c r="I16" s="3">
        <f>IFERROR((
K16*'Best Country'!$E$12+
M16*'Best Country'!$E$15+
O16*'Best Country'!$E$18+
Q16*'Best Country'!$E$9+
S16*'Best Country'!$E$6+
U16*'Best Country'!$E$21+
W16*'Best Country'!$E$24+
Y16*'Best Country'!$E$27
)/SUM('Best Country'!$E$5:$E$28), "")</f>
        <v>0.68437028173794334</v>
      </c>
      <c r="J16">
        <v>0.34332526000000002</v>
      </c>
      <c r="K16">
        <f t="shared" si="0"/>
        <v>0.73672800898579727</v>
      </c>
      <c r="L16">
        <v>0.95799999999999996</v>
      </c>
      <c r="M16">
        <f t="shared" si="1"/>
        <v>0.97602739726027399</v>
      </c>
      <c r="N16">
        <v>83.923000000000002</v>
      </c>
      <c r="O16">
        <f t="shared" si="2"/>
        <v>0.94293304314428361</v>
      </c>
      <c r="P16">
        <v>65681</v>
      </c>
      <c r="Q16">
        <f t="shared" si="3"/>
        <v>0.2510024273336201</v>
      </c>
      <c r="R16">
        <v>49.5</v>
      </c>
      <c r="S16">
        <f t="shared" si="4"/>
        <v>0.53975903614457832</v>
      </c>
      <c r="T16">
        <v>52.6</v>
      </c>
      <c r="U16">
        <f t="shared" si="5"/>
        <v>0.50380517503805178</v>
      </c>
      <c r="V16">
        <v>73.099999999999994</v>
      </c>
      <c r="W16">
        <f t="shared" si="6"/>
        <v>0.29324894514767941</v>
      </c>
      <c r="X16">
        <v>6.9740000000000002</v>
      </c>
      <c r="Y16">
        <f t="shared" si="7"/>
        <v>0.88041431261770253</v>
      </c>
    </row>
    <row r="17" spans="1:25" x14ac:dyDescent="0.3">
      <c r="D17" t="str">
        <v>China</v>
      </c>
      <c r="E17">
        <v>62.37</v>
      </c>
      <c r="G17" t="str">
        <v>Europe</v>
      </c>
      <c r="H17" t="str">
        <v>Austria</v>
      </c>
      <c r="I17" s="3">
        <f>IFERROR((
K17*'Best Country'!$E$12+
M17*'Best Country'!$E$15+
O17*'Best Country'!$E$18+
Q17*'Best Country'!$E$9+
S17*'Best Country'!$E$6+
U17*'Best Country'!$E$21+
W17*'Best Country'!$E$24+
Y17*'Best Country'!$E$27
)/SUM('Best Country'!$E$5:$E$28), "")</f>
        <v>0.68800364116618606</v>
      </c>
      <c r="J17">
        <v>0.30892930000000002</v>
      </c>
      <c r="K17">
        <f t="shared" si="0"/>
        <v>0.8250432628677985</v>
      </c>
      <c r="L17">
        <v>0.93</v>
      </c>
      <c r="M17">
        <f t="shared" si="1"/>
        <v>0.92808219178082207</v>
      </c>
      <c r="N17">
        <v>81.956000000000003</v>
      </c>
      <c r="O17">
        <f t="shared" si="2"/>
        <v>0.87997695557547051</v>
      </c>
      <c r="P17">
        <v>58627</v>
      </c>
      <c r="Q17">
        <f t="shared" si="3"/>
        <v>0.22391000430160388</v>
      </c>
      <c r="R17">
        <v>49.1</v>
      </c>
      <c r="S17">
        <f t="shared" si="4"/>
        <v>0.54457831325301209</v>
      </c>
      <c r="T17">
        <v>71.7</v>
      </c>
      <c r="U17">
        <f t="shared" si="5"/>
        <v>0.79452054794520544</v>
      </c>
      <c r="V17">
        <v>78.5</v>
      </c>
      <c r="W17">
        <f t="shared" si="6"/>
        <v>0.17932489451476796</v>
      </c>
      <c r="X17">
        <v>6.81</v>
      </c>
      <c r="Y17">
        <f t="shared" si="7"/>
        <v>0.85467671060891393</v>
      </c>
    </row>
    <row r="18" spans="1:25" x14ac:dyDescent="0.3">
      <c r="A18" s="49" t="s">
        <v>760</v>
      </c>
      <c r="B18" s="49"/>
      <c r="D18" t="str">
        <v>Colombia</v>
      </c>
      <c r="E18">
        <v>52.07</v>
      </c>
      <c r="G18" t="str">
        <v>Asia</v>
      </c>
      <c r="H18" t="str">
        <v>Azerbaijan</v>
      </c>
      <c r="I18" s="3" t="str">
        <f>IFERROR((
K18*'Best Country'!$E$12+
M18*'Best Country'!$E$15+
O18*'Best Country'!$E$18+
Q18*'Best Country'!$E$9+
S18*'Best Country'!$E$6+
U18*'Best Country'!$E$21+
W18*'Best Country'!$E$24+
Y18*'Best Country'!$E$27
)/SUM('Best Country'!$E$5:$E$28), "")</f>
        <v/>
      </c>
      <c r="J18" t="str">
        <v/>
      </c>
      <c r="K18" t="str">
        <f t="shared" si="0"/>
        <v/>
      </c>
      <c r="L18">
        <v>0.78900000000000003</v>
      </c>
      <c r="M18">
        <f t="shared" si="1"/>
        <v>0.68664383561643849</v>
      </c>
      <c r="N18">
        <v>74.429000000000002</v>
      </c>
      <c r="O18">
        <f t="shared" si="2"/>
        <v>0.63906670080655481</v>
      </c>
      <c r="P18">
        <v>7585</v>
      </c>
      <c r="Q18">
        <f t="shared" si="3"/>
        <v>2.7872088735942973E-2</v>
      </c>
      <c r="R18">
        <v>20.7</v>
      </c>
      <c r="S18">
        <f t="shared" si="4"/>
        <v>0.88674698795180729</v>
      </c>
      <c r="T18">
        <v>68.2</v>
      </c>
      <c r="U18">
        <f t="shared" si="5"/>
        <v>0.74124809741248099</v>
      </c>
      <c r="V18">
        <v>49.1</v>
      </c>
      <c r="W18">
        <f t="shared" si="6"/>
        <v>0.79957805907172996</v>
      </c>
      <c r="X18">
        <v>4.875</v>
      </c>
      <c r="Y18">
        <f t="shared" si="7"/>
        <v>0.55100439422473324</v>
      </c>
    </row>
    <row r="19" spans="1:25" x14ac:dyDescent="0.3">
      <c r="A19" t="s">
        <v>2</v>
      </c>
      <c r="B19" t="s">
        <v>744</v>
      </c>
      <c r="D19" t="str">
        <v>Costa Rica</v>
      </c>
      <c r="E19">
        <v>60.62</v>
      </c>
      <c r="G19" t="str">
        <v>North America</v>
      </c>
      <c r="H19" t="str">
        <v>Bahamas</v>
      </c>
      <c r="I19" s="3" t="str">
        <f>IFERROR((
K19*'Best Country'!$E$12+
M19*'Best Country'!$E$15+
O19*'Best Country'!$E$18+
Q19*'Best Country'!$E$9+
S19*'Best Country'!$E$6+
U19*'Best Country'!$E$21+
W19*'Best Country'!$E$24+
Y19*'Best Country'!$E$27
)/SUM('Best Country'!$E$5:$E$28), "")</f>
        <v/>
      </c>
      <c r="J19" t="str">
        <v/>
      </c>
      <c r="K19" t="str">
        <f t="shared" si="0"/>
        <v/>
      </c>
      <c r="L19">
        <v>0.82</v>
      </c>
      <c r="M19">
        <f t="shared" si="1"/>
        <v>0.73972602739726023</v>
      </c>
      <c r="N19">
        <v>74.552000000000007</v>
      </c>
      <c r="O19">
        <f t="shared" si="2"/>
        <v>0.64300345666367953</v>
      </c>
      <c r="P19">
        <v>37659</v>
      </c>
      <c r="Q19">
        <f t="shared" si="3"/>
        <v>0.14337783444970195</v>
      </c>
      <c r="R19">
        <v>68.7</v>
      </c>
      <c r="S19">
        <f t="shared" si="4"/>
        <v>0.30843373493975901</v>
      </c>
      <c r="T19" t="str">
        <v/>
      </c>
      <c r="U19" t="str">
        <f t="shared" si="5"/>
        <v/>
      </c>
      <c r="V19" t="str">
        <v/>
      </c>
      <c r="W19" t="str">
        <f t="shared" si="6"/>
        <v/>
      </c>
      <c r="X19" t="str">
        <v/>
      </c>
      <c r="Y19" t="str">
        <f t="shared" si="7"/>
        <v/>
      </c>
    </row>
    <row r="20" spans="1:25" x14ac:dyDescent="0.3">
      <c r="A20" t="str" cm="1">
        <f t="array" ref="A20:A29">_xlfn.XLOOKUP(_xlfn.ANCHORARRAY(B20),_xlfn.ANCHORARRAY( B37),_xlfn.ANCHORARRAY( A37))</f>
        <v>Poland</v>
      </c>
      <c r="B20" cm="1">
        <f t="array" ref="B20:B29">_xlfn.TAKE(_xlfn._xlws.SORT(_xlfn.ANCHORARRAY(B37), 1, 1), -10)</f>
        <v>70.069999999999993</v>
      </c>
      <c r="D20" t="str">
        <v>Croatia</v>
      </c>
      <c r="E20">
        <v>65.95</v>
      </c>
      <c r="G20" t="str">
        <v>Asia</v>
      </c>
      <c r="H20" t="str">
        <v>Bahrain</v>
      </c>
      <c r="I20" s="3" t="str">
        <f>IFERROR((
K20*'Best Country'!$E$12+
M20*'Best Country'!$E$15+
O20*'Best Country'!$E$18+
Q20*'Best Country'!$E$9+
S20*'Best Country'!$E$6+
U20*'Best Country'!$E$21+
W20*'Best Country'!$E$24+
Y20*'Best Country'!$E$27
)/SUM('Best Country'!$E$5:$E$28), "")</f>
        <v/>
      </c>
      <c r="J20" t="str">
        <v/>
      </c>
      <c r="K20" t="str">
        <f t="shared" si="0"/>
        <v/>
      </c>
      <c r="L20">
        <v>0.89900000000000002</v>
      </c>
      <c r="M20">
        <f t="shared" si="1"/>
        <v>0.87500000000000011</v>
      </c>
      <c r="N20">
        <v>81.284000000000006</v>
      </c>
      <c r="O20">
        <f t="shared" si="2"/>
        <v>0.85846882601459484</v>
      </c>
      <c r="P20">
        <v>29105</v>
      </c>
      <c r="Q20">
        <f t="shared" si="3"/>
        <v>0.11052433478768513</v>
      </c>
      <c r="R20">
        <v>35.200000000000003</v>
      </c>
      <c r="S20">
        <f t="shared" si="4"/>
        <v>0.71204819277108433</v>
      </c>
      <c r="T20" t="str">
        <v/>
      </c>
      <c r="U20" t="str">
        <f t="shared" si="5"/>
        <v/>
      </c>
      <c r="V20" t="str">
        <v/>
      </c>
      <c r="W20" t="str">
        <f t="shared" si="6"/>
        <v/>
      </c>
      <c r="X20">
        <v>6.03</v>
      </c>
      <c r="Y20">
        <f t="shared" si="7"/>
        <v>0.73226616446955439</v>
      </c>
    </row>
    <row r="21" spans="1:25" x14ac:dyDescent="0.3">
      <c r="A21" t="str">
        <v>Sweden</v>
      </c>
      <c r="B21">
        <v>70.83</v>
      </c>
      <c r="D21" t="str">
        <v>Cyprus</v>
      </c>
      <c r="E21">
        <v>66.84</v>
      </c>
      <c r="G21" t="str">
        <v>Asia</v>
      </c>
      <c r="H21" t="str">
        <v>Bangladesh</v>
      </c>
      <c r="I21" s="3">
        <f>IFERROR((
K21*'Best Country'!$E$12+
M21*'Best Country'!$E$15+
O21*'Best Country'!$E$18+
Q21*'Best Country'!$E$9+
S21*'Best Country'!$E$6+
U21*'Best Country'!$E$21+
W21*'Best Country'!$E$24+
Y21*'Best Country'!$E$27
)/SUM('Best Country'!$E$5:$E$28), "")</f>
        <v>0.51318155182623304</v>
      </c>
      <c r="J21">
        <v>0.33373155999999998</v>
      </c>
      <c r="K21">
        <f t="shared" si="0"/>
        <v>0.76136084525981784</v>
      </c>
      <c r="L21">
        <v>0.68500000000000005</v>
      </c>
      <c r="M21">
        <f t="shared" si="1"/>
        <v>0.50856164383561653</v>
      </c>
      <c r="N21">
        <v>74.671999999999997</v>
      </c>
      <c r="O21">
        <f t="shared" si="2"/>
        <v>0.64684419408526417</v>
      </c>
      <c r="P21">
        <v>2659</v>
      </c>
      <c r="Q21">
        <f t="shared" si="3"/>
        <v>8.9527130830209557E-3</v>
      </c>
      <c r="R21">
        <v>13</v>
      </c>
      <c r="S21">
        <f t="shared" si="4"/>
        <v>0.97951807228915666</v>
      </c>
      <c r="T21">
        <v>38.5</v>
      </c>
      <c r="U21">
        <f t="shared" si="5"/>
        <v>0.28919330289193301</v>
      </c>
      <c r="V21">
        <v>41.7</v>
      </c>
      <c r="W21">
        <f t="shared" si="6"/>
        <v>0.95569620253164556</v>
      </c>
      <c r="X21">
        <v>3.851</v>
      </c>
      <c r="Y21">
        <f t="shared" si="7"/>
        <v>0.39030131826741998</v>
      </c>
    </row>
    <row r="22" spans="1:25" x14ac:dyDescent="0.3">
      <c r="A22" t="str">
        <v>Luxembourg</v>
      </c>
      <c r="B22">
        <v>71.569999999999993</v>
      </c>
      <c r="D22" t="str">
        <v>Czech Republic</v>
      </c>
      <c r="E22">
        <v>69.83</v>
      </c>
      <c r="G22" t="str">
        <v>North America</v>
      </c>
      <c r="H22" t="str">
        <v>Barbados</v>
      </c>
      <c r="I22" s="3" t="str">
        <f>IFERROR((
K22*'Best Country'!$E$12+
M22*'Best Country'!$E$15+
O22*'Best Country'!$E$18+
Q22*'Best Country'!$E$9+
S22*'Best Country'!$E$6+
U22*'Best Country'!$E$21+
W22*'Best Country'!$E$24+
Y22*'Best Country'!$E$27
)/SUM('Best Country'!$E$5:$E$28), "")</f>
        <v/>
      </c>
      <c r="J22">
        <v>0.34068036000000002</v>
      </c>
      <c r="K22">
        <f t="shared" si="0"/>
        <v>0.74351906860420902</v>
      </c>
      <c r="L22">
        <v>0.81100000000000005</v>
      </c>
      <c r="M22">
        <f t="shared" si="1"/>
        <v>0.72431506849315075</v>
      </c>
      <c r="N22">
        <v>76.177999999999997</v>
      </c>
      <c r="O22">
        <f t="shared" si="2"/>
        <v>0.69504544872615526</v>
      </c>
      <c r="P22">
        <v>26721</v>
      </c>
      <c r="Q22">
        <f t="shared" si="3"/>
        <v>0.10136806366373748</v>
      </c>
      <c r="R22" t="str">
        <v/>
      </c>
      <c r="S22" t="str">
        <f t="shared" si="4"/>
        <v/>
      </c>
      <c r="T22" t="str">
        <v/>
      </c>
      <c r="U22" t="str">
        <f t="shared" si="5"/>
        <v/>
      </c>
      <c r="V22" t="str">
        <v/>
      </c>
      <c r="W22" t="str">
        <f t="shared" si="6"/>
        <v/>
      </c>
      <c r="X22" t="str">
        <v/>
      </c>
      <c r="Y22" t="str">
        <f t="shared" si="7"/>
        <v/>
      </c>
    </row>
    <row r="23" spans="1:25" x14ac:dyDescent="0.3">
      <c r="A23" t="str">
        <v>Netherlands</v>
      </c>
      <c r="B23">
        <v>72.510000000000005</v>
      </c>
      <c r="D23" t="str">
        <v>Denmark</v>
      </c>
      <c r="E23">
        <v>72.989999999999995</v>
      </c>
      <c r="G23" t="str">
        <v>Europe</v>
      </c>
      <c r="H23" t="str">
        <v>Belarus</v>
      </c>
      <c r="I23" s="3" t="str">
        <f>IFERROR((
K23*'Best Country'!$E$12+
M23*'Best Country'!$E$15+
O23*'Best Country'!$E$18+
Q23*'Best Country'!$E$9+
S23*'Best Country'!$E$6+
U23*'Best Country'!$E$21+
W23*'Best Country'!$E$24+
Y23*'Best Country'!$E$27
)/SUM('Best Country'!$E$5:$E$28), "")</f>
        <v/>
      </c>
      <c r="J23">
        <v>0.24383356</v>
      </c>
      <c r="K23">
        <f t="shared" si="0"/>
        <v>0.99218343877033888</v>
      </c>
      <c r="L23">
        <v>0.82399999999999995</v>
      </c>
      <c r="M23">
        <f t="shared" si="1"/>
        <v>0.74657534246575341</v>
      </c>
      <c r="N23">
        <v>74.433999999999997</v>
      </c>
      <c r="O23">
        <f t="shared" si="2"/>
        <v>0.63922673153245402</v>
      </c>
      <c r="P23">
        <v>7953</v>
      </c>
      <c r="Q23">
        <f t="shared" si="3"/>
        <v>2.9285472869169792E-2</v>
      </c>
      <c r="R23">
        <v>18.399999999999999</v>
      </c>
      <c r="S23">
        <f t="shared" si="4"/>
        <v>0.91445783132530123</v>
      </c>
      <c r="T23">
        <v>50.9</v>
      </c>
      <c r="U23">
        <f t="shared" si="5"/>
        <v>0.47792998477929982</v>
      </c>
      <c r="V23">
        <v>49.3</v>
      </c>
      <c r="W23">
        <f t="shared" si="6"/>
        <v>0.79535864978902959</v>
      </c>
      <c r="X23" t="str">
        <v/>
      </c>
      <c r="Y23" t="str">
        <f t="shared" si="7"/>
        <v/>
      </c>
    </row>
    <row r="24" spans="1:25" x14ac:dyDescent="0.3">
      <c r="A24" t="str">
        <v>Slovenia</v>
      </c>
      <c r="B24">
        <v>72.84</v>
      </c>
      <c r="D24" t="str">
        <v>Ecuador</v>
      </c>
      <c r="E24">
        <v>52.54</v>
      </c>
      <c r="G24" t="str">
        <v>Europe</v>
      </c>
      <c r="H24" t="str">
        <v>Belgium</v>
      </c>
      <c r="I24" s="3">
        <f>IFERROR((
K24*'Best Country'!$E$12+
M24*'Best Country'!$E$15+
O24*'Best Country'!$E$18+
Q24*'Best Country'!$E$9+
S24*'Best Country'!$E$6+
U24*'Best Country'!$E$21+
W24*'Best Country'!$E$24+
Y24*'Best Country'!$E$27
)/SUM('Best Country'!$E$5:$E$28), "")</f>
        <v>0.6901111538017457</v>
      </c>
      <c r="J24">
        <v>0.26375556</v>
      </c>
      <c r="K24">
        <f t="shared" si="0"/>
        <v>0.94103160326880819</v>
      </c>
      <c r="L24">
        <v>0.95099999999999996</v>
      </c>
      <c r="M24">
        <f t="shared" si="1"/>
        <v>0.96404109589041087</v>
      </c>
      <c r="N24">
        <v>82.114999999999995</v>
      </c>
      <c r="O24">
        <f t="shared" si="2"/>
        <v>0.8850659326590703</v>
      </c>
      <c r="P24">
        <v>58244</v>
      </c>
      <c r="Q24">
        <f t="shared" si="3"/>
        <v>0.22243900940207706</v>
      </c>
      <c r="R24">
        <v>45.9</v>
      </c>
      <c r="S24">
        <f t="shared" si="4"/>
        <v>0.58313253012048194</v>
      </c>
      <c r="T24">
        <v>50.5</v>
      </c>
      <c r="U24">
        <f t="shared" si="5"/>
        <v>0.47184170471841702</v>
      </c>
      <c r="V24">
        <v>75.8</v>
      </c>
      <c r="W24">
        <f t="shared" si="6"/>
        <v>0.23628691983122374</v>
      </c>
      <c r="X24">
        <v>6.91</v>
      </c>
      <c r="Y24">
        <f t="shared" si="7"/>
        <v>0.87037037037037046</v>
      </c>
    </row>
    <row r="25" spans="1:25" x14ac:dyDescent="0.3">
      <c r="A25" t="str">
        <v>Denmark</v>
      </c>
      <c r="B25">
        <v>72.989999999999995</v>
      </c>
      <c r="D25" t="str">
        <v>Egypt</v>
      </c>
      <c r="E25">
        <v>54.75</v>
      </c>
      <c r="G25" t="str">
        <v>North America</v>
      </c>
      <c r="H25" t="str">
        <v>Belize</v>
      </c>
      <c r="I25" s="3" t="str">
        <f>IFERROR((
K25*'Best Country'!$E$12+
M25*'Best Country'!$E$15+
O25*'Best Country'!$E$18+
Q25*'Best Country'!$E$9+
S25*'Best Country'!$E$6+
U25*'Best Country'!$E$21+
W25*'Best Country'!$E$24+
Y25*'Best Country'!$E$27
)/SUM('Best Country'!$E$5:$E$28), "")</f>
        <v/>
      </c>
      <c r="J25">
        <v>0.39949583999999999</v>
      </c>
      <c r="K25">
        <f t="shared" si="0"/>
        <v>0.59250412241890826</v>
      </c>
      <c r="L25">
        <v>0.72099999999999997</v>
      </c>
      <c r="M25">
        <f t="shared" si="1"/>
        <v>0.5702054794520548</v>
      </c>
      <c r="N25">
        <v>73.566000000000003</v>
      </c>
      <c r="O25">
        <f t="shared" si="2"/>
        <v>0.6114453975163231</v>
      </c>
      <c r="P25">
        <v>8538</v>
      </c>
      <c r="Q25">
        <f t="shared" si="3"/>
        <v>3.1532292754870031E-2</v>
      </c>
      <c r="R25">
        <v>28.3</v>
      </c>
      <c r="S25">
        <f t="shared" si="4"/>
        <v>0.79518072289156627</v>
      </c>
      <c r="T25" t="str">
        <v/>
      </c>
      <c r="U25" t="str">
        <f t="shared" si="5"/>
        <v/>
      </c>
      <c r="V25" t="str">
        <v/>
      </c>
      <c r="W25" t="str">
        <f t="shared" si="6"/>
        <v/>
      </c>
      <c r="X25">
        <v>6.7110000000000003</v>
      </c>
      <c r="Y25">
        <f t="shared" si="7"/>
        <v>0.83913998744507223</v>
      </c>
    </row>
    <row r="26" spans="1:25" x14ac:dyDescent="0.3">
      <c r="A26" t="str">
        <v>Ireland</v>
      </c>
      <c r="B26">
        <v>73.2</v>
      </c>
      <c r="D26" t="str">
        <v>Estonia</v>
      </c>
      <c r="E26">
        <v>66.56</v>
      </c>
      <c r="G26" t="str">
        <v>Africa</v>
      </c>
      <c r="H26" t="str">
        <v>Benin</v>
      </c>
      <c r="I26" s="3" t="str">
        <f>IFERROR((
K26*'Best Country'!$E$12+
M26*'Best Country'!$E$15+
O26*'Best Country'!$E$18+
Q26*'Best Country'!$E$9+
S26*'Best Country'!$E$6+
U26*'Best Country'!$E$21+
W26*'Best Country'!$E$24+
Y26*'Best Country'!$E$27
)/SUM('Best Country'!$E$5:$E$28), "")</f>
        <v/>
      </c>
      <c r="J26">
        <v>0.34395808</v>
      </c>
      <c r="K26">
        <f t="shared" si="0"/>
        <v>0.73510317691361193</v>
      </c>
      <c r="L26">
        <v>0.51500000000000001</v>
      </c>
      <c r="M26">
        <f t="shared" si="1"/>
        <v>0.21746575342465754</v>
      </c>
      <c r="N26">
        <v>60.774000000000001</v>
      </c>
      <c r="O26">
        <f t="shared" si="2"/>
        <v>0.202022788375368</v>
      </c>
      <c r="P26">
        <v>1501</v>
      </c>
      <c r="Q26">
        <f t="shared" si="3"/>
        <v>4.5051619246604807E-3</v>
      </c>
      <c r="R26" t="str">
        <v/>
      </c>
      <c r="S26" t="str">
        <f t="shared" si="4"/>
        <v/>
      </c>
      <c r="T26" t="str">
        <v/>
      </c>
      <c r="U26" t="str">
        <f t="shared" si="5"/>
        <v/>
      </c>
      <c r="V26" t="str">
        <v/>
      </c>
      <c r="W26" t="str">
        <f t="shared" si="6"/>
        <v/>
      </c>
      <c r="X26">
        <v>4.3570000000000002</v>
      </c>
      <c r="Y26">
        <f t="shared" si="7"/>
        <v>0.46971123666038928</v>
      </c>
    </row>
    <row r="27" spans="1:25" x14ac:dyDescent="0.3">
      <c r="A27" t="str">
        <v>Norway</v>
      </c>
      <c r="B27">
        <v>73.53</v>
      </c>
      <c r="D27" t="str">
        <v>Finland</v>
      </c>
      <c r="E27">
        <v>73.569999999999993</v>
      </c>
      <c r="G27" t="str">
        <v>North America</v>
      </c>
      <c r="H27" t="str">
        <v>Bermuda</v>
      </c>
      <c r="I27" s="3" t="str">
        <f>IFERROR((
K27*'Best Country'!$E$12+
M27*'Best Country'!$E$15+
O27*'Best Country'!$E$18+
Q27*'Best Country'!$E$9+
S27*'Best Country'!$E$6+
U27*'Best Country'!$E$21+
W27*'Best Country'!$E$24+
Y27*'Best Country'!$E$27
)/SUM('Best Country'!$E$5:$E$28), "")</f>
        <v/>
      </c>
      <c r="J27" t="str">
        <v/>
      </c>
      <c r="K27" t="str">
        <f t="shared" si="0"/>
        <v/>
      </c>
      <c r="L27" t="str">
        <v/>
      </c>
      <c r="M27" t="str">
        <f t="shared" si="1"/>
        <v/>
      </c>
      <c r="N27" t="str">
        <v/>
      </c>
      <c r="O27" t="str">
        <f t="shared" si="2"/>
        <v/>
      </c>
      <c r="P27">
        <v>126120</v>
      </c>
      <c r="Q27">
        <f t="shared" si="3"/>
        <v>0.4831315676273582</v>
      </c>
      <c r="R27" t="str">
        <v/>
      </c>
      <c r="S27" t="str">
        <f t="shared" si="4"/>
        <v/>
      </c>
      <c r="T27" t="str">
        <v/>
      </c>
      <c r="U27" t="str">
        <f t="shared" si="5"/>
        <v/>
      </c>
      <c r="V27" t="str">
        <v/>
      </c>
      <c r="W27" t="str">
        <f t="shared" si="6"/>
        <v/>
      </c>
      <c r="X27" t="str">
        <v/>
      </c>
      <c r="Y27" t="str">
        <f t="shared" si="7"/>
        <v/>
      </c>
    </row>
    <row r="28" spans="1:25" x14ac:dyDescent="0.3">
      <c r="A28" t="str">
        <v>Finland</v>
      </c>
      <c r="B28">
        <v>73.569999999999993</v>
      </c>
      <c r="D28" t="str">
        <v>France</v>
      </c>
      <c r="E28">
        <v>64.58</v>
      </c>
      <c r="G28" t="str">
        <v>Asia</v>
      </c>
      <c r="H28" t="str">
        <v>Bhutan</v>
      </c>
      <c r="I28" s="3" t="str">
        <f>IFERROR((
K28*'Best Country'!$E$12+
M28*'Best Country'!$E$15+
O28*'Best Country'!$E$18+
Q28*'Best Country'!$E$9+
S28*'Best Country'!$E$6+
U28*'Best Country'!$E$21+
W28*'Best Country'!$E$24+
Y28*'Best Country'!$E$27
)/SUM('Best Country'!$E$5:$E$28), "")</f>
        <v/>
      </c>
      <c r="J28">
        <v>0.2845992</v>
      </c>
      <c r="K28">
        <f t="shared" si="0"/>
        <v>0.8875133598929863</v>
      </c>
      <c r="L28">
        <v>0.69799999999999995</v>
      </c>
      <c r="M28">
        <f t="shared" si="1"/>
        <v>0.53082191780821908</v>
      </c>
      <c r="N28">
        <v>72.974999999999994</v>
      </c>
      <c r="O28">
        <f t="shared" si="2"/>
        <v>0.59252976571501703</v>
      </c>
      <c r="P28">
        <v>4295</v>
      </c>
      <c r="Q28">
        <f t="shared" si="3"/>
        <v>1.5236127327474959E-2</v>
      </c>
      <c r="R28" t="str">
        <v/>
      </c>
      <c r="S28" t="str">
        <f t="shared" si="4"/>
        <v/>
      </c>
      <c r="T28" t="str">
        <v/>
      </c>
      <c r="U28" t="str">
        <f t="shared" si="5"/>
        <v/>
      </c>
      <c r="V28" t="str">
        <v/>
      </c>
      <c r="W28" t="str">
        <f t="shared" si="6"/>
        <v/>
      </c>
      <c r="X28" t="str">
        <v/>
      </c>
      <c r="Y28" t="str">
        <f t="shared" si="7"/>
        <v/>
      </c>
    </row>
    <row r="29" spans="1:25" x14ac:dyDescent="0.3">
      <c r="A29" t="str">
        <v>Iceland</v>
      </c>
      <c r="B29">
        <v>73.81</v>
      </c>
      <c r="D29" t="str">
        <v>Georgia</v>
      </c>
      <c r="E29">
        <v>62.09</v>
      </c>
      <c r="G29" t="str">
        <v>South America</v>
      </c>
      <c r="H29" t="str">
        <v>Bolivia</v>
      </c>
      <c r="I29" s="3" t="str">
        <f>IFERROR((
K29*'Best Country'!$E$12+
M29*'Best Country'!$E$15+
O29*'Best Country'!$E$18+
Q29*'Best Country'!$E$9+
S29*'Best Country'!$E$6+
U29*'Best Country'!$E$21+
W29*'Best Country'!$E$24+
Y29*'Best Country'!$E$27
)/SUM('Best Country'!$E$5:$E$28), "")</f>
        <v/>
      </c>
      <c r="J29">
        <v>0.42050114</v>
      </c>
      <c r="K29">
        <f t="shared" si="0"/>
        <v>0.53857079994825763</v>
      </c>
      <c r="L29">
        <v>0.73299999999999998</v>
      </c>
      <c r="M29">
        <f t="shared" si="1"/>
        <v>0.59075342465753422</v>
      </c>
      <c r="N29">
        <v>68.581000000000003</v>
      </c>
      <c r="O29">
        <f t="shared" si="2"/>
        <v>0.45189476379464855</v>
      </c>
      <c r="P29">
        <v>4478</v>
      </c>
      <c r="Q29">
        <f t="shared" si="3"/>
        <v>1.5938978676335033E-2</v>
      </c>
      <c r="R29">
        <v>18.100000000000001</v>
      </c>
      <c r="S29">
        <f t="shared" si="4"/>
        <v>0.91807228915662653</v>
      </c>
      <c r="T29" t="str">
        <v/>
      </c>
      <c r="U29" t="str">
        <f t="shared" si="5"/>
        <v/>
      </c>
      <c r="V29" t="str">
        <v/>
      </c>
      <c r="W29" t="str">
        <f t="shared" si="6"/>
        <v/>
      </c>
      <c r="X29">
        <v>5.8680000000000003</v>
      </c>
      <c r="Y29">
        <f t="shared" si="7"/>
        <v>0.70684243565599503</v>
      </c>
    </row>
    <row r="30" spans="1:25" x14ac:dyDescent="0.3">
      <c r="D30" t="str">
        <v>Germany</v>
      </c>
      <c r="E30">
        <v>68.37</v>
      </c>
      <c r="G30" t="str">
        <v>Europe</v>
      </c>
      <c r="H30" t="str">
        <v>Bosnia and Herzegovina</v>
      </c>
      <c r="I30" s="3">
        <f>IFERROR((
K30*'Best Country'!$E$12+
M30*'Best Country'!$E$15+
O30*'Best Country'!$E$18+
Q30*'Best Country'!$E$9+
S30*'Best Country'!$E$6+
U30*'Best Country'!$E$21+
W30*'Best Country'!$E$24+
Y30*'Best Country'!$E$27
)/SUM('Best Country'!$E$5:$E$28), "")</f>
        <v>0.62968751262593503</v>
      </c>
      <c r="J30">
        <v>0.33030185000000001</v>
      </c>
      <c r="K30">
        <f t="shared" si="0"/>
        <v>0.7701669873006749</v>
      </c>
      <c r="L30">
        <v>0.80400000000000005</v>
      </c>
      <c r="M30">
        <f t="shared" si="1"/>
        <v>0.71232876712328774</v>
      </c>
      <c r="N30">
        <v>77.849999999999994</v>
      </c>
      <c r="O30">
        <f t="shared" si="2"/>
        <v>0.74855972346690536</v>
      </c>
      <c r="P30">
        <v>9174</v>
      </c>
      <c r="Q30">
        <f t="shared" si="3"/>
        <v>3.3974989245990288E-2</v>
      </c>
      <c r="R30">
        <v>23.4</v>
      </c>
      <c r="S30">
        <f t="shared" si="4"/>
        <v>0.85421686746987957</v>
      </c>
      <c r="T30">
        <v>58.8</v>
      </c>
      <c r="U30">
        <f t="shared" si="5"/>
        <v>0.59817351598173507</v>
      </c>
      <c r="V30">
        <v>54.9</v>
      </c>
      <c r="W30">
        <f t="shared" si="6"/>
        <v>0.67721518987341778</v>
      </c>
      <c r="X30">
        <v>6.1360000000000001</v>
      </c>
      <c r="Y30">
        <f t="shared" si="7"/>
        <v>0.7489014438166981</v>
      </c>
    </row>
    <row r="31" spans="1:25" x14ac:dyDescent="0.3">
      <c r="D31" t="str">
        <v>Greece</v>
      </c>
      <c r="E31">
        <v>64.67</v>
      </c>
      <c r="G31" t="str">
        <v>Africa</v>
      </c>
      <c r="H31" t="str">
        <v>Botswana</v>
      </c>
      <c r="I31" s="3" t="str">
        <f>IFERROR((
K31*'Best Country'!$E$12+
M31*'Best Country'!$E$15+
O31*'Best Country'!$E$18+
Q31*'Best Country'!$E$9+
S31*'Best Country'!$E$6+
U31*'Best Country'!$E$21+
W31*'Best Country'!$E$24+
Y31*'Best Country'!$E$27
)/SUM('Best Country'!$E$5:$E$28), "")</f>
        <v/>
      </c>
      <c r="J31">
        <v>0.54907360000000005</v>
      </c>
      <c r="K31">
        <f t="shared" si="0"/>
        <v>0.20844745269661968</v>
      </c>
      <c r="L31">
        <v>0.73099999999999998</v>
      </c>
      <c r="M31">
        <f t="shared" si="1"/>
        <v>0.58732876712328763</v>
      </c>
      <c r="N31">
        <v>69.162999999999997</v>
      </c>
      <c r="O31">
        <f t="shared" si="2"/>
        <v>0.47052234028933537</v>
      </c>
      <c r="P31">
        <v>7572</v>
      </c>
      <c r="Q31">
        <f t="shared" si="3"/>
        <v>2.7822159405149635E-2</v>
      </c>
      <c r="R31">
        <v>26.2</v>
      </c>
      <c r="S31">
        <f t="shared" si="4"/>
        <v>0.82048192771084338</v>
      </c>
      <c r="T31" t="str">
        <v/>
      </c>
      <c r="U31" t="str">
        <f t="shared" si="5"/>
        <v/>
      </c>
      <c r="V31" t="str">
        <v/>
      </c>
      <c r="W31" t="str">
        <f t="shared" si="6"/>
        <v/>
      </c>
      <c r="X31">
        <v>3.4380000000000002</v>
      </c>
      <c r="Y31">
        <f t="shared" si="7"/>
        <v>0.3254865034526051</v>
      </c>
    </row>
    <row r="32" spans="1:25" x14ac:dyDescent="0.3">
      <c r="D32" t="str">
        <v>Hungary</v>
      </c>
      <c r="E32">
        <v>65.92</v>
      </c>
      <c r="G32" t="str">
        <v>South America</v>
      </c>
      <c r="H32" t="str">
        <v>Brazil</v>
      </c>
      <c r="I32" s="3">
        <f>IFERROR((
K32*'Best Country'!$E$12+
M32*'Best Country'!$E$15+
O32*'Best Country'!$E$18+
Q32*'Best Country'!$E$9+
S32*'Best Country'!$E$6+
U32*'Best Country'!$E$21+
W32*'Best Country'!$E$24+
Y32*'Best Country'!$E$27
)/SUM('Best Country'!$E$5:$E$28), "")</f>
        <v>0.54538327523416352</v>
      </c>
      <c r="J32">
        <v>0.51639440000000003</v>
      </c>
      <c r="K32">
        <f t="shared" si="0"/>
        <v>0.29235474426983632</v>
      </c>
      <c r="L32">
        <v>0.78600000000000003</v>
      </c>
      <c r="M32">
        <f t="shared" si="1"/>
        <v>0.68150684931506855</v>
      </c>
      <c r="N32">
        <v>75.847999999999999</v>
      </c>
      <c r="O32">
        <f t="shared" si="2"/>
        <v>0.68448342081679669</v>
      </c>
      <c r="P32">
        <v>9990</v>
      </c>
      <c r="Q32">
        <f t="shared" si="3"/>
        <v>3.7109014932710627E-2</v>
      </c>
      <c r="R32">
        <v>19.7</v>
      </c>
      <c r="S32">
        <f t="shared" si="4"/>
        <v>0.89879518072289155</v>
      </c>
      <c r="T32">
        <v>35.799999999999997</v>
      </c>
      <c r="U32">
        <f t="shared" si="5"/>
        <v>0.24809741248097408</v>
      </c>
      <c r="V32">
        <v>59.2</v>
      </c>
      <c r="W32">
        <f t="shared" si="6"/>
        <v>0.58649789029535859</v>
      </c>
      <c r="X32">
        <v>6.4939999999999998</v>
      </c>
      <c r="Y32">
        <f t="shared" si="7"/>
        <v>0.80508474576271183</v>
      </c>
    </row>
    <row r="33" spans="1:25" x14ac:dyDescent="0.3">
      <c r="A33" s="49" t="s">
        <v>750</v>
      </c>
      <c r="B33" s="49"/>
      <c r="D33" t="str">
        <v>Iceland</v>
      </c>
      <c r="E33">
        <v>73.81</v>
      </c>
      <c r="G33" t="str">
        <v>North America</v>
      </c>
      <c r="H33" t="str">
        <v>British Virgin Islands</v>
      </c>
      <c r="I33" s="3" t="str">
        <f>IFERROR((
K33*'Best Country'!$E$12+
M33*'Best Country'!$E$15+
O33*'Best Country'!$E$18+
Q33*'Best Country'!$E$9+
S33*'Best Country'!$E$6+
U33*'Best Country'!$E$21+
W33*'Best Country'!$E$24+
Y33*'Best Country'!$E$27
)/SUM('Best Country'!$E$5:$E$28), "")</f>
        <v/>
      </c>
      <c r="J33" t="str">
        <v/>
      </c>
      <c r="K33" t="str">
        <f t="shared" si="0"/>
        <v/>
      </c>
      <c r="L33" t="str">
        <v/>
      </c>
      <c r="M33" t="str">
        <f t="shared" si="1"/>
        <v/>
      </c>
      <c r="N33" t="str">
        <v/>
      </c>
      <c r="O33" t="str">
        <f t="shared" si="2"/>
        <v/>
      </c>
      <c r="P33">
        <v>37900</v>
      </c>
      <c r="Q33">
        <f t="shared" si="3"/>
        <v>0.1443034474282554</v>
      </c>
      <c r="R33" t="str">
        <v/>
      </c>
      <c r="S33" t="str">
        <f t="shared" si="4"/>
        <v/>
      </c>
      <c r="T33" t="str">
        <v/>
      </c>
      <c r="U33" t="str">
        <f t="shared" si="5"/>
        <v/>
      </c>
      <c r="V33" t="str">
        <v/>
      </c>
      <c r="W33" t="str">
        <f t="shared" si="6"/>
        <v/>
      </c>
      <c r="X33" t="str">
        <v/>
      </c>
      <c r="Y33" t="str">
        <f t="shared" si="7"/>
        <v/>
      </c>
    </row>
    <row r="34" spans="1:25" x14ac:dyDescent="0.3">
      <c r="A34" s="49" t="str">
        <f>'Best Country'!H3</f>
        <v>Europe</v>
      </c>
      <c r="B34" s="49"/>
      <c r="D34" t="str">
        <v>India</v>
      </c>
      <c r="E34">
        <v>53.29</v>
      </c>
      <c r="G34" t="str">
        <v>Asia</v>
      </c>
      <c r="H34" t="str">
        <v>Brunei</v>
      </c>
      <c r="I34" s="3" t="str">
        <f>IFERROR((
K34*'Best Country'!$E$12+
M34*'Best Country'!$E$15+
O34*'Best Country'!$E$18+
Q34*'Best Country'!$E$9+
S34*'Best Country'!$E$6+
U34*'Best Country'!$E$21+
W34*'Best Country'!$E$24+
Y34*'Best Country'!$E$27
)/SUM('Best Country'!$E$5:$E$28), "")</f>
        <v/>
      </c>
      <c r="J34" t="str">
        <v/>
      </c>
      <c r="K34" t="str">
        <f t="shared" si="0"/>
        <v/>
      </c>
      <c r="L34">
        <v>0.83699999999999997</v>
      </c>
      <c r="M34">
        <f t="shared" si="1"/>
        <v>0.76883561643835618</v>
      </c>
      <c r="N34">
        <v>75.326999999999998</v>
      </c>
      <c r="O34">
        <f t="shared" si="2"/>
        <v>0.66780821917808209</v>
      </c>
      <c r="P34">
        <v>34325</v>
      </c>
      <c r="Q34">
        <f t="shared" si="3"/>
        <v>0.13057288146008725</v>
      </c>
      <c r="R34">
        <v>33.4</v>
      </c>
      <c r="S34">
        <f t="shared" si="4"/>
        <v>0.73373493975903625</v>
      </c>
      <c r="T34" t="str">
        <v/>
      </c>
      <c r="U34" t="str">
        <f t="shared" si="5"/>
        <v/>
      </c>
      <c r="V34" t="str">
        <v/>
      </c>
      <c r="W34" t="str">
        <f t="shared" si="6"/>
        <v/>
      </c>
      <c r="X34" t="str">
        <v/>
      </c>
      <c r="Y34" t="str">
        <f t="shared" si="7"/>
        <v/>
      </c>
    </row>
    <row r="35" spans="1:25" x14ac:dyDescent="0.3">
      <c r="A35" t="s">
        <v>2</v>
      </c>
      <c r="B35" t="s">
        <v>744</v>
      </c>
      <c r="D35" t="str">
        <v>Indonesia</v>
      </c>
      <c r="E35">
        <v>55.26</v>
      </c>
      <c r="G35" t="str">
        <v>Europe</v>
      </c>
      <c r="H35" t="str">
        <v>Bulgaria</v>
      </c>
      <c r="I35" s="3">
        <f>IFERROR((
K35*'Best Country'!$E$12+
M35*'Best Country'!$E$15+
O35*'Best Country'!$E$18+
Q35*'Best Country'!$E$9+
S35*'Best Country'!$E$6+
U35*'Best Country'!$E$21+
W35*'Best Country'!$E$24+
Y35*'Best Country'!$E$27
)/SUM('Best Country'!$E$5:$E$28), "")</f>
        <v>0.60408186856234447</v>
      </c>
      <c r="J35">
        <v>0.38201501999999998</v>
      </c>
      <c r="K35">
        <f t="shared" si="0"/>
        <v>0.63738797088150567</v>
      </c>
      <c r="L35">
        <v>0.84499999999999997</v>
      </c>
      <c r="M35">
        <f t="shared" si="1"/>
        <v>0.78253424657534243</v>
      </c>
      <c r="N35">
        <v>75.635999999999996</v>
      </c>
      <c r="O35">
        <f t="shared" si="2"/>
        <v>0.6776981180386632</v>
      </c>
      <c r="P35">
        <v>17426</v>
      </c>
      <c r="Q35">
        <f t="shared" si="3"/>
        <v>6.5668592146500337E-2</v>
      </c>
      <c r="R35">
        <v>27.3</v>
      </c>
      <c r="S35">
        <f t="shared" si="4"/>
        <v>0.80722891566265065</v>
      </c>
      <c r="T35">
        <v>64.099999999999994</v>
      </c>
      <c r="U35">
        <f t="shared" si="5"/>
        <v>0.67884322678843212</v>
      </c>
      <c r="V35">
        <v>58.2</v>
      </c>
      <c r="W35">
        <f t="shared" si="6"/>
        <v>0.60759493670886067</v>
      </c>
      <c r="X35">
        <v>5.5540000000000003</v>
      </c>
      <c r="Y35">
        <f t="shared" si="7"/>
        <v>0.65756434400502206</v>
      </c>
    </row>
    <row r="36" spans="1:25" x14ac:dyDescent="0.3">
      <c r="D36" t="str">
        <v>Iran</v>
      </c>
      <c r="E36">
        <v>58.45</v>
      </c>
      <c r="G36" t="str">
        <v>Africa</v>
      </c>
      <c r="H36" t="str">
        <v>Burkina Faso</v>
      </c>
      <c r="I36" s="3" t="str">
        <f>IFERROR((
K36*'Best Country'!$E$12+
M36*'Best Country'!$E$15+
O36*'Best Country'!$E$18+
Q36*'Best Country'!$E$9+
S36*'Best Country'!$E$6+
U36*'Best Country'!$E$21+
W36*'Best Country'!$E$24+
Y36*'Best Country'!$E$27
)/SUM('Best Country'!$E$5:$E$28), "")</f>
        <v/>
      </c>
      <c r="J36">
        <v>0.37391287000000001</v>
      </c>
      <c r="K36">
        <f t="shared" si="0"/>
        <v>0.65819109526704556</v>
      </c>
      <c r="L36">
        <v>0.45900000000000002</v>
      </c>
      <c r="M36">
        <f t="shared" si="1"/>
        <v>0.12157534246575344</v>
      </c>
      <c r="N36">
        <v>61.091999999999999</v>
      </c>
      <c r="O36">
        <f t="shared" si="2"/>
        <v>0.21220074254256802</v>
      </c>
      <c r="P36">
        <v>1124</v>
      </c>
      <c r="Q36">
        <f t="shared" si="3"/>
        <v>3.0572113316536596E-3</v>
      </c>
      <c r="R36" t="str">
        <v/>
      </c>
      <c r="S36" t="str">
        <f t="shared" si="4"/>
        <v/>
      </c>
      <c r="T36" t="str">
        <v/>
      </c>
      <c r="U36" t="str">
        <f t="shared" si="5"/>
        <v/>
      </c>
      <c r="V36" t="str">
        <v/>
      </c>
      <c r="W36" t="str">
        <f t="shared" si="6"/>
        <v/>
      </c>
      <c r="X36">
        <v>4.383</v>
      </c>
      <c r="Y36">
        <f t="shared" si="7"/>
        <v>0.47379158819836786</v>
      </c>
    </row>
    <row r="37" spans="1:25" x14ac:dyDescent="0.3">
      <c r="A37" t="str" cm="1">
        <f t="array" ref="A37:A72">_xlfn._xlws.FILTER(_xlfn.ANCHORARRAY(H5), ((A34="World") + (A34=_xlfn.ANCHORARRAY(G5))) * (I5:I238&lt;&gt;""))</f>
        <v>Albania</v>
      </c>
      <c r="B37" cm="1">
        <f t="array" ref="B37:B72">ROUND(_xlfn._xlws.FILTER(I5:I238*100, ((A34="World") + (A34=_xlfn.ANCHORARRAY(G5))) * (I5:I238&lt;&gt;"")), B1)</f>
        <v>62.09</v>
      </c>
      <c r="D37" t="str">
        <v>Ireland</v>
      </c>
      <c r="E37">
        <v>73.2</v>
      </c>
      <c r="G37" t="str">
        <v>Africa</v>
      </c>
      <c r="H37" t="str">
        <v>Burundi</v>
      </c>
      <c r="I37" s="3" t="str">
        <f>IFERROR((
K37*'Best Country'!$E$12+
M37*'Best Country'!$E$15+
O37*'Best Country'!$E$18+
Q37*'Best Country'!$E$9+
S37*'Best Country'!$E$6+
U37*'Best Country'!$E$21+
W37*'Best Country'!$E$24+
Y37*'Best Country'!$E$27
)/SUM('Best Country'!$E$5:$E$28), "")</f>
        <v/>
      </c>
      <c r="J37">
        <v>0.37456086</v>
      </c>
      <c r="K37">
        <f t="shared" si="0"/>
        <v>0.65652731262039188</v>
      </c>
      <c r="L37">
        <v>0.439</v>
      </c>
      <c r="M37">
        <f t="shared" si="1"/>
        <v>8.7328767123287659E-2</v>
      </c>
      <c r="N37">
        <v>63.651000000000003</v>
      </c>
      <c r="O37">
        <f t="shared" si="2"/>
        <v>0.29410446805786711</v>
      </c>
      <c r="P37">
        <v>469</v>
      </c>
      <c r="Q37">
        <f t="shared" si="3"/>
        <v>5.4154120322005774E-4</v>
      </c>
      <c r="R37" t="str">
        <v/>
      </c>
      <c r="S37" t="str">
        <f t="shared" si="4"/>
        <v/>
      </c>
      <c r="T37" t="str">
        <v/>
      </c>
      <c r="U37" t="str">
        <f t="shared" si="5"/>
        <v/>
      </c>
      <c r="V37" t="str">
        <v/>
      </c>
      <c r="W37" t="str">
        <f t="shared" si="6"/>
        <v/>
      </c>
      <c r="X37" t="str">
        <v/>
      </c>
      <c r="Y37" t="str">
        <f t="shared" si="7"/>
        <v/>
      </c>
    </row>
    <row r="38" spans="1:25" x14ac:dyDescent="0.3">
      <c r="A38" t="str">
        <v>Austria</v>
      </c>
      <c r="B38">
        <v>68.8</v>
      </c>
      <c r="D38" t="str">
        <v>Israel</v>
      </c>
      <c r="E38">
        <v>68.03</v>
      </c>
      <c r="G38" t="str">
        <v>Asia</v>
      </c>
      <c r="H38" t="str">
        <v>Cambodia</v>
      </c>
      <c r="I38" s="3" t="str">
        <f>IFERROR((
K38*'Best Country'!$E$12+
M38*'Best Country'!$E$15+
O38*'Best Country'!$E$18+
Q38*'Best Country'!$E$9+
S38*'Best Country'!$E$6+
U38*'Best Country'!$E$21+
W38*'Best Country'!$E$24+
Y38*'Best Country'!$E$27
)/SUM('Best Country'!$E$5:$E$28), "")</f>
        <v/>
      </c>
      <c r="J38" t="str">
        <v/>
      </c>
      <c r="K38" t="str">
        <f t="shared" si="0"/>
        <v/>
      </c>
      <c r="L38">
        <v>0.60599999999999998</v>
      </c>
      <c r="M38">
        <f t="shared" si="1"/>
        <v>0.37328767123287671</v>
      </c>
      <c r="N38">
        <v>70.668000000000006</v>
      </c>
      <c r="O38">
        <f t="shared" si="2"/>
        <v>0.51869158878504684</v>
      </c>
      <c r="P38">
        <v>2790</v>
      </c>
      <c r="Q38">
        <f t="shared" si="3"/>
        <v>9.4558471087076747E-3</v>
      </c>
      <c r="R38">
        <v>22.6</v>
      </c>
      <c r="S38">
        <f t="shared" si="4"/>
        <v>0.863855421686747</v>
      </c>
      <c r="T38" t="str">
        <v/>
      </c>
      <c r="U38" t="str">
        <f t="shared" si="5"/>
        <v/>
      </c>
      <c r="V38" t="str">
        <v/>
      </c>
      <c r="W38" t="str">
        <f t="shared" si="6"/>
        <v/>
      </c>
      <c r="X38">
        <v>4.3410000000000002</v>
      </c>
      <c r="Y38">
        <f t="shared" si="7"/>
        <v>0.46720025109855623</v>
      </c>
    </row>
    <row r="39" spans="1:25" x14ac:dyDescent="0.3">
      <c r="A39" t="str">
        <v>Belgium</v>
      </c>
      <c r="B39">
        <v>69.010000000000005</v>
      </c>
      <c r="D39" t="str">
        <v>Italy</v>
      </c>
      <c r="E39">
        <v>66.37</v>
      </c>
      <c r="G39" t="str">
        <v>Africa</v>
      </c>
      <c r="H39" t="str">
        <v>Cameroon</v>
      </c>
      <c r="I39" s="3" t="str">
        <f>IFERROR((
K39*'Best Country'!$E$12+
M39*'Best Country'!$E$15+
O39*'Best Country'!$E$18+
Q39*'Best Country'!$E$9+
S39*'Best Country'!$E$6+
U39*'Best Country'!$E$21+
W39*'Best Country'!$E$24+
Y39*'Best Country'!$E$27
)/SUM('Best Country'!$E$5:$E$28), "")</f>
        <v/>
      </c>
      <c r="J39">
        <v>0.42176074000000002</v>
      </c>
      <c r="K39">
        <f t="shared" si="0"/>
        <v>0.53533664414072168</v>
      </c>
      <c r="L39">
        <v>0.58799999999999997</v>
      </c>
      <c r="M39">
        <f t="shared" si="1"/>
        <v>0.34246575342465746</v>
      </c>
      <c r="N39">
        <v>63.7</v>
      </c>
      <c r="O39">
        <f t="shared" si="2"/>
        <v>0.29567276917168095</v>
      </c>
      <c r="P39">
        <v>1875</v>
      </c>
      <c r="Q39">
        <f t="shared" si="3"/>
        <v>5.9415903644073004E-3</v>
      </c>
      <c r="R39">
        <v>30.5</v>
      </c>
      <c r="S39">
        <f t="shared" si="4"/>
        <v>0.76867469879518069</v>
      </c>
      <c r="T39" t="str">
        <v/>
      </c>
      <c r="U39" t="str">
        <f t="shared" si="5"/>
        <v/>
      </c>
      <c r="V39" t="str">
        <v/>
      </c>
      <c r="W39" t="str">
        <f t="shared" si="6"/>
        <v/>
      </c>
      <c r="X39">
        <v>4.8869999999999996</v>
      </c>
      <c r="Y39">
        <f t="shared" si="7"/>
        <v>0.55288763339610791</v>
      </c>
    </row>
    <row r="40" spans="1:25" x14ac:dyDescent="0.3">
      <c r="A40" t="str">
        <v>Bosnia and Herzegovina</v>
      </c>
      <c r="B40">
        <v>62.97</v>
      </c>
      <c r="D40" t="str">
        <v>Japan</v>
      </c>
      <c r="E40">
        <v>68.180000000000007</v>
      </c>
      <c r="G40" t="str">
        <v>North America</v>
      </c>
      <c r="H40" t="str">
        <v>Canada</v>
      </c>
      <c r="I40" s="3">
        <f>IFERROR((
K40*'Best Country'!$E$12+
M40*'Best Country'!$E$15+
O40*'Best Country'!$E$18+
Q40*'Best Country'!$E$9+
S40*'Best Country'!$E$6+
U40*'Best Country'!$E$21+
W40*'Best Country'!$E$24+
Y40*'Best Country'!$E$27
)/SUM('Best Country'!$E$5:$E$28), "")</f>
        <v>0.6856365196249733</v>
      </c>
      <c r="J40">
        <v>0.29851684000000001</v>
      </c>
      <c r="K40">
        <f t="shared" si="0"/>
        <v>0.85177835176882599</v>
      </c>
      <c r="L40">
        <v>0.93899999999999995</v>
      </c>
      <c r="M40">
        <f t="shared" si="1"/>
        <v>0.94349315068493145</v>
      </c>
      <c r="N40">
        <v>82.63</v>
      </c>
      <c r="O40">
        <f t="shared" si="2"/>
        <v>0.90154909742670564</v>
      </c>
      <c r="P40">
        <v>55458</v>
      </c>
      <c r="Q40">
        <f t="shared" si="3"/>
        <v>0.21173876974128925</v>
      </c>
      <c r="R40">
        <v>48.1</v>
      </c>
      <c r="S40">
        <f t="shared" si="4"/>
        <v>0.55662650602409647</v>
      </c>
      <c r="T40">
        <v>54.2</v>
      </c>
      <c r="U40">
        <f t="shared" si="5"/>
        <v>0.52815829528158298</v>
      </c>
      <c r="V40">
        <v>68.599999999999994</v>
      </c>
      <c r="W40">
        <f t="shared" si="6"/>
        <v>0.38818565400843896</v>
      </c>
      <c r="X40">
        <v>6.8029999999999999</v>
      </c>
      <c r="Y40">
        <f t="shared" si="7"/>
        <v>0.85357815442561202</v>
      </c>
    </row>
    <row r="41" spans="1:25" x14ac:dyDescent="0.3">
      <c r="A41" t="str">
        <v>Bulgaria</v>
      </c>
      <c r="B41">
        <v>60.41</v>
      </c>
      <c r="D41" t="str">
        <v>Jordan</v>
      </c>
      <c r="E41">
        <v>54.06</v>
      </c>
      <c r="G41" t="str">
        <v>Africa</v>
      </c>
      <c r="H41" t="str">
        <v>Cape Verde</v>
      </c>
      <c r="I41" s="3" t="str">
        <f>IFERROR((
K41*'Best Country'!$E$12+
M41*'Best Country'!$E$15+
O41*'Best Country'!$E$18+
Q41*'Best Country'!$E$9+
S41*'Best Country'!$E$6+
U41*'Best Country'!$E$21+
W41*'Best Country'!$E$24+
Y41*'Best Country'!$E$27
)/SUM('Best Country'!$E$5:$E$28), "")</f>
        <v/>
      </c>
      <c r="J41">
        <v>0.42381087000000001</v>
      </c>
      <c r="K41">
        <f t="shared" si="0"/>
        <v>0.53007271920764509</v>
      </c>
      <c r="L41">
        <v>0.66800000000000004</v>
      </c>
      <c r="M41">
        <f t="shared" si="1"/>
        <v>0.47945205479452063</v>
      </c>
      <c r="N41">
        <v>76.058999999999997</v>
      </c>
      <c r="O41">
        <f t="shared" si="2"/>
        <v>0.69123671744975013</v>
      </c>
      <c r="P41">
        <v>5283</v>
      </c>
      <c r="Q41">
        <f t="shared" si="3"/>
        <v>1.9030756467768698E-2</v>
      </c>
      <c r="R41" t="str">
        <v/>
      </c>
      <c r="S41" t="str">
        <f t="shared" si="4"/>
        <v/>
      </c>
      <c r="T41" t="str">
        <v/>
      </c>
      <c r="U41" t="str">
        <f t="shared" si="5"/>
        <v/>
      </c>
      <c r="V41" t="str">
        <v/>
      </c>
      <c r="W41" t="str">
        <f t="shared" si="6"/>
        <v/>
      </c>
      <c r="X41" t="str">
        <v/>
      </c>
      <c r="Y41" t="str">
        <f t="shared" si="7"/>
        <v/>
      </c>
    </row>
    <row r="42" spans="1:25" x14ac:dyDescent="0.3">
      <c r="A42" t="str">
        <v>Croatia</v>
      </c>
      <c r="B42">
        <v>65.95</v>
      </c>
      <c r="D42" t="str">
        <v>Kazakhstan</v>
      </c>
      <c r="E42">
        <v>63.99</v>
      </c>
      <c r="G42" t="str">
        <v>North America</v>
      </c>
      <c r="H42" t="str">
        <v>Cayman Islands</v>
      </c>
      <c r="I42" s="3" t="str">
        <f>IFERROR((
K42*'Best Country'!$E$12+
M42*'Best Country'!$E$15+
O42*'Best Country'!$E$18+
Q42*'Best Country'!$E$9+
S42*'Best Country'!$E$6+
U42*'Best Country'!$E$21+
W42*'Best Country'!$E$24+
Y42*'Best Country'!$E$27
)/SUM('Best Country'!$E$5:$E$28), "")</f>
        <v/>
      </c>
      <c r="J42" t="str">
        <v/>
      </c>
      <c r="K42" t="str">
        <f t="shared" si="0"/>
        <v/>
      </c>
      <c r="L42" t="str">
        <v/>
      </c>
      <c r="M42" t="str">
        <f t="shared" si="1"/>
        <v/>
      </c>
      <c r="N42" t="str">
        <v/>
      </c>
      <c r="O42" t="str">
        <f t="shared" si="2"/>
        <v/>
      </c>
      <c r="P42">
        <v>93972</v>
      </c>
      <c r="Q42">
        <f t="shared" si="3"/>
        <v>0.359660173293185</v>
      </c>
      <c r="R42">
        <v>94.3</v>
      </c>
      <c r="S42">
        <f t="shared" si="4"/>
        <v>0</v>
      </c>
      <c r="T42" t="str">
        <v/>
      </c>
      <c r="U42" t="str">
        <f t="shared" si="5"/>
        <v/>
      </c>
      <c r="V42" t="str">
        <v/>
      </c>
      <c r="W42" t="str">
        <f t="shared" si="6"/>
        <v/>
      </c>
      <c r="X42" t="str">
        <v/>
      </c>
      <c r="Y42" t="str">
        <f t="shared" si="7"/>
        <v/>
      </c>
    </row>
    <row r="43" spans="1:25" x14ac:dyDescent="0.3">
      <c r="A43" t="str">
        <v>Cyprus</v>
      </c>
      <c r="B43">
        <v>66.84</v>
      </c>
      <c r="D43" t="str">
        <v>Kenya</v>
      </c>
      <c r="E43">
        <v>43.37</v>
      </c>
      <c r="G43" t="str">
        <v>Africa</v>
      </c>
      <c r="H43" t="str">
        <v>Central African Republic</v>
      </c>
      <c r="I43" s="3" t="str">
        <f>IFERROR((
K43*'Best Country'!$E$12+
M43*'Best Country'!$E$15+
O43*'Best Country'!$E$18+
Q43*'Best Country'!$E$9+
S43*'Best Country'!$E$6+
U43*'Best Country'!$E$21+
W43*'Best Country'!$E$24+
Y43*'Best Country'!$E$27
)/SUM('Best Country'!$E$5:$E$28), "")</f>
        <v/>
      </c>
      <c r="J43">
        <v>0.43034457999999998</v>
      </c>
      <c r="K43">
        <f t="shared" si="0"/>
        <v>0.51329672989258124</v>
      </c>
      <c r="L43">
        <v>0.41399999999999998</v>
      </c>
      <c r="M43">
        <f t="shared" si="1"/>
        <v>4.4520547945205428E-2</v>
      </c>
      <c r="N43">
        <v>57.408000000000001</v>
      </c>
      <c r="O43">
        <f t="shared" si="2"/>
        <v>9.4290103699910324E-2</v>
      </c>
      <c r="P43">
        <v>532</v>
      </c>
      <c r="Q43">
        <f t="shared" si="3"/>
        <v>7.8350642168008354E-4</v>
      </c>
      <c r="R43" t="str">
        <v/>
      </c>
      <c r="S43" t="str">
        <f t="shared" si="4"/>
        <v/>
      </c>
      <c r="T43" t="str">
        <v/>
      </c>
      <c r="U43" t="str">
        <f t="shared" si="5"/>
        <v/>
      </c>
      <c r="V43" t="str">
        <v/>
      </c>
      <c r="W43" t="str">
        <f t="shared" si="6"/>
        <v/>
      </c>
      <c r="X43" t="str">
        <v/>
      </c>
      <c r="Y43" t="str">
        <f t="shared" si="7"/>
        <v/>
      </c>
    </row>
    <row r="44" spans="1:25" x14ac:dyDescent="0.3">
      <c r="A44" t="str">
        <v>Czech Republic</v>
      </c>
      <c r="B44">
        <v>69.83</v>
      </c>
      <c r="D44" t="str">
        <v>Latvia</v>
      </c>
      <c r="E44">
        <v>64.150000000000006</v>
      </c>
      <c r="G44" t="str">
        <v>Africa</v>
      </c>
      <c r="H44" t="str">
        <v>Chad</v>
      </c>
      <c r="I44" s="3" t="str">
        <f>IFERROR((
K44*'Best Country'!$E$12+
M44*'Best Country'!$E$15+
O44*'Best Country'!$E$18+
Q44*'Best Country'!$E$9+
S44*'Best Country'!$E$6+
U44*'Best Country'!$E$21+
W44*'Best Country'!$E$24+
Y44*'Best Country'!$E$27
)/SUM('Best Country'!$E$5:$E$28), "")</f>
        <v/>
      </c>
      <c r="J44">
        <v>0.37357685000000002</v>
      </c>
      <c r="K44">
        <f t="shared" si="0"/>
        <v>0.65905386204574368</v>
      </c>
      <c r="L44">
        <v>0.41599999999999998</v>
      </c>
      <c r="M44">
        <f t="shared" si="1"/>
        <v>4.7945205479452004E-2</v>
      </c>
      <c r="N44">
        <v>55.069000000000003</v>
      </c>
      <c r="O44">
        <f t="shared" si="2"/>
        <v>1.942773012418382E-2</v>
      </c>
      <c r="P44">
        <v>895</v>
      </c>
      <c r="Q44">
        <f t="shared" si="3"/>
        <v>2.1776869661402323E-3</v>
      </c>
      <c r="R44" t="str">
        <v/>
      </c>
      <c r="S44" t="str">
        <f t="shared" si="4"/>
        <v/>
      </c>
      <c r="T44" t="str">
        <v/>
      </c>
      <c r="U44" t="str">
        <f t="shared" si="5"/>
        <v/>
      </c>
      <c r="V44" t="str">
        <v/>
      </c>
      <c r="W44" t="str">
        <f t="shared" si="6"/>
        <v/>
      </c>
      <c r="X44">
        <v>4.3840000000000003</v>
      </c>
      <c r="Y44">
        <f t="shared" si="7"/>
        <v>0.47394852479598248</v>
      </c>
    </row>
    <row r="45" spans="1:25" x14ac:dyDescent="0.3">
      <c r="A45" t="str">
        <v>Denmark</v>
      </c>
      <c r="B45">
        <v>72.989999999999995</v>
      </c>
      <c r="D45" t="str">
        <v>Lebanon</v>
      </c>
      <c r="E45">
        <v>48.79</v>
      </c>
      <c r="G45" t="str">
        <v>South America</v>
      </c>
      <c r="H45" t="str">
        <v>Chile</v>
      </c>
      <c r="I45" s="3">
        <f>IFERROR((
K45*'Best Country'!$E$12+
M45*'Best Country'!$E$15+
O45*'Best Country'!$E$18+
Q45*'Best Country'!$E$9+
S45*'Best Country'!$E$6+
U45*'Best Country'!$E$21+
W45*'Best Country'!$E$24+
Y45*'Best Country'!$E$27
)/SUM('Best Country'!$E$5:$E$28), "")</f>
        <v>0.60710659622608731</v>
      </c>
      <c r="J45">
        <v>0.43042782000000002</v>
      </c>
      <c r="K45">
        <f t="shared" si="0"/>
        <v>0.5130830024160653</v>
      </c>
      <c r="L45">
        <v>0.878</v>
      </c>
      <c r="M45">
        <f t="shared" si="1"/>
        <v>0.83904109589041098</v>
      </c>
      <c r="N45">
        <v>81.167000000000002</v>
      </c>
      <c r="O45">
        <f t="shared" si="2"/>
        <v>0.8547241070285494</v>
      </c>
      <c r="P45">
        <v>17312</v>
      </c>
      <c r="Q45">
        <f t="shared" si="3"/>
        <v>6.5230750322620296E-2</v>
      </c>
      <c r="R45">
        <v>25.1</v>
      </c>
      <c r="S45">
        <f t="shared" si="4"/>
        <v>0.83373493975903612</v>
      </c>
      <c r="T45">
        <v>39.5</v>
      </c>
      <c r="U45">
        <f t="shared" si="5"/>
        <v>0.30441400304414001</v>
      </c>
      <c r="V45">
        <v>63.7</v>
      </c>
      <c r="W45">
        <f t="shared" si="6"/>
        <v>0.49156118143459915</v>
      </c>
      <c r="X45">
        <v>6.3609999999999998</v>
      </c>
      <c r="Y45">
        <f t="shared" si="7"/>
        <v>0.78421217827997491</v>
      </c>
    </row>
    <row r="46" spans="1:25" x14ac:dyDescent="0.3">
      <c r="A46" t="str">
        <v>Estonia</v>
      </c>
      <c r="B46">
        <v>66.56</v>
      </c>
      <c r="D46" t="str">
        <v>Lithuania</v>
      </c>
      <c r="E46">
        <v>64.430000000000007</v>
      </c>
      <c r="G46" t="str">
        <v>Asia</v>
      </c>
      <c r="H46" t="str">
        <v>China</v>
      </c>
      <c r="I46" s="3">
        <f>IFERROR((
K46*'Best Country'!$E$12+
M46*'Best Country'!$E$15+
O46*'Best Country'!$E$18+
Q46*'Best Country'!$E$9+
S46*'Best Country'!$E$6+
U46*'Best Country'!$E$21+
W46*'Best Country'!$E$24+
Y46*'Best Country'!$E$27
)/SUM('Best Country'!$E$5:$E$28), "")</f>
        <v>0.62368256132356781</v>
      </c>
      <c r="J46">
        <v>0.35743752000000001</v>
      </c>
      <c r="K46">
        <f t="shared" si="0"/>
        <v>0.70049329349162859</v>
      </c>
      <c r="L46">
        <v>0.79700000000000004</v>
      </c>
      <c r="M46">
        <f t="shared" si="1"/>
        <v>0.70034246575342474</v>
      </c>
      <c r="N46">
        <v>77.953000000000003</v>
      </c>
      <c r="O46">
        <f t="shared" si="2"/>
        <v>0.75185635642043269</v>
      </c>
      <c r="P46">
        <v>13581</v>
      </c>
      <c r="Q46">
        <f t="shared" si="3"/>
        <v>5.0901032384932099E-2</v>
      </c>
      <c r="R46">
        <v>21.2</v>
      </c>
      <c r="S46">
        <f t="shared" si="4"/>
        <v>0.88072289156626504</v>
      </c>
      <c r="T46">
        <v>76.5</v>
      </c>
      <c r="U46">
        <f t="shared" si="5"/>
        <v>0.86757990867579904</v>
      </c>
      <c r="V46">
        <v>68.7</v>
      </c>
      <c r="W46">
        <f t="shared" si="6"/>
        <v>0.38607594936708856</v>
      </c>
      <c r="X46">
        <v>5.9210000000000003</v>
      </c>
      <c r="Y46">
        <f t="shared" si="7"/>
        <v>0.71516007532956694</v>
      </c>
    </row>
    <row r="47" spans="1:25" x14ac:dyDescent="0.3">
      <c r="A47" t="str">
        <v>Finland</v>
      </c>
      <c r="B47">
        <v>73.569999999999993</v>
      </c>
      <c r="D47" t="str">
        <v>Luxembourg</v>
      </c>
      <c r="E47">
        <v>71.569999999999993</v>
      </c>
      <c r="G47" t="str">
        <v>South America</v>
      </c>
      <c r="H47" t="str">
        <v>Colombia</v>
      </c>
      <c r="I47" s="3">
        <f>IFERROR((
K47*'Best Country'!$E$12+
M47*'Best Country'!$E$15+
O47*'Best Country'!$E$18+
Q47*'Best Country'!$E$9+
S47*'Best Country'!$E$6+
U47*'Best Country'!$E$21+
W47*'Best Country'!$E$24+
Y47*'Best Country'!$E$27
)/SUM('Best Country'!$E$5:$E$28), "")</f>
        <v>0.52067313216630484</v>
      </c>
      <c r="J47">
        <v>0.53881924999999997</v>
      </c>
      <c r="K47">
        <f t="shared" si="0"/>
        <v>0.23477657750211733</v>
      </c>
      <c r="L47">
        <v>0.78800000000000003</v>
      </c>
      <c r="M47">
        <f t="shared" si="1"/>
        <v>0.68493150684931514</v>
      </c>
      <c r="N47">
        <v>77.724999999999994</v>
      </c>
      <c r="O47">
        <f t="shared" si="2"/>
        <v>0.74455895531942107</v>
      </c>
      <c r="P47">
        <v>8007</v>
      </c>
      <c r="Q47">
        <f t="shared" si="3"/>
        <v>2.9492871627849814E-2</v>
      </c>
      <c r="R47">
        <v>19.899999999999999</v>
      </c>
      <c r="S47">
        <f t="shared" si="4"/>
        <v>0.89638554216867472</v>
      </c>
      <c r="T47">
        <v>39</v>
      </c>
      <c r="U47">
        <f t="shared" si="5"/>
        <v>0.29680365296803651</v>
      </c>
      <c r="V47">
        <v>68.900000000000006</v>
      </c>
      <c r="W47">
        <f t="shared" si="6"/>
        <v>0.38185654008438807</v>
      </c>
      <c r="X47">
        <v>6.0039999999999996</v>
      </c>
      <c r="Y47">
        <f t="shared" si="7"/>
        <v>0.72818581293157558</v>
      </c>
    </row>
    <row r="48" spans="1:25" x14ac:dyDescent="0.3">
      <c r="A48" t="str">
        <v>France</v>
      </c>
      <c r="B48">
        <v>64.58</v>
      </c>
      <c r="D48" t="str">
        <v>Malaysia</v>
      </c>
      <c r="E48">
        <v>57.6</v>
      </c>
      <c r="G48" t="str">
        <v>Africa</v>
      </c>
      <c r="H48" t="str">
        <v>Comoros</v>
      </c>
      <c r="I48" s="3" t="str">
        <f>IFERROR((
K48*'Best Country'!$E$12+
M48*'Best Country'!$E$15+
O48*'Best Country'!$E$18+
Q48*'Best Country'!$E$9+
S48*'Best Country'!$E$6+
U48*'Best Country'!$E$21+
W48*'Best Country'!$E$24+
Y48*'Best Country'!$E$27
)/SUM('Best Country'!$E$5:$E$28), "")</f>
        <v/>
      </c>
      <c r="J48">
        <v>0.45332187000000002</v>
      </c>
      <c r="K48">
        <f t="shared" si="0"/>
        <v>0.45430011517764457</v>
      </c>
      <c r="L48">
        <v>0.60299999999999998</v>
      </c>
      <c r="M48">
        <f t="shared" si="1"/>
        <v>0.36815068493150682</v>
      </c>
      <c r="N48">
        <v>66.777000000000001</v>
      </c>
      <c r="O48">
        <f t="shared" si="2"/>
        <v>0.39415567789015482</v>
      </c>
      <c r="P48">
        <v>1753</v>
      </c>
      <c r="Q48">
        <f t="shared" si="3"/>
        <v>5.4730227985005835E-3</v>
      </c>
      <c r="R48" t="str">
        <v/>
      </c>
      <c r="S48" t="str">
        <f t="shared" si="4"/>
        <v/>
      </c>
      <c r="T48" t="str">
        <v/>
      </c>
      <c r="U48" t="str">
        <f t="shared" si="5"/>
        <v/>
      </c>
      <c r="V48" t="str">
        <v/>
      </c>
      <c r="W48" t="str">
        <f t="shared" si="6"/>
        <v/>
      </c>
      <c r="X48">
        <v>3.754</v>
      </c>
      <c r="Y48">
        <f t="shared" si="7"/>
        <v>0.37507846829880725</v>
      </c>
    </row>
    <row r="49" spans="1:25" x14ac:dyDescent="0.3">
      <c r="A49" t="str">
        <v>Germany</v>
      </c>
      <c r="B49">
        <v>68.37</v>
      </c>
      <c r="D49" t="str">
        <v>Malta</v>
      </c>
      <c r="E49">
        <v>68.430000000000007</v>
      </c>
      <c r="G49" t="str">
        <v>Oceania</v>
      </c>
      <c r="H49" t="str">
        <v>Cook Islands</v>
      </c>
      <c r="I49" s="3" t="str">
        <f>IFERROR((
K49*'Best Country'!$E$12+
M49*'Best Country'!$E$15+
O49*'Best Country'!$E$18+
Q49*'Best Country'!$E$9+
S49*'Best Country'!$E$6+
U49*'Best Country'!$E$21+
W49*'Best Country'!$E$24+
Y49*'Best Country'!$E$27
)/SUM('Best Country'!$E$5:$E$28), "")</f>
        <v/>
      </c>
      <c r="J49" t="str">
        <v/>
      </c>
      <c r="K49" t="str">
        <f t="shared" si="0"/>
        <v/>
      </c>
      <c r="L49" t="str">
        <v/>
      </c>
      <c r="M49" t="str">
        <f t="shared" si="1"/>
        <v/>
      </c>
      <c r="N49" t="str">
        <v/>
      </c>
      <c r="O49" t="str">
        <f t="shared" si="2"/>
        <v/>
      </c>
      <c r="P49">
        <v>27612</v>
      </c>
      <c r="Q49">
        <f t="shared" si="3"/>
        <v>0.10479014318195784</v>
      </c>
      <c r="R49" t="str">
        <v/>
      </c>
      <c r="S49" t="str">
        <f t="shared" si="4"/>
        <v/>
      </c>
      <c r="T49" t="str">
        <v/>
      </c>
      <c r="U49" t="str">
        <f t="shared" si="5"/>
        <v/>
      </c>
      <c r="V49" t="str">
        <v/>
      </c>
      <c r="W49" t="str">
        <f t="shared" si="6"/>
        <v/>
      </c>
      <c r="X49" t="str">
        <v/>
      </c>
      <c r="Y49" t="str">
        <f t="shared" si="7"/>
        <v/>
      </c>
    </row>
    <row r="50" spans="1:25" x14ac:dyDescent="0.3">
      <c r="A50" t="str">
        <v>Greece</v>
      </c>
      <c r="B50">
        <v>64.67</v>
      </c>
      <c r="D50" t="str">
        <v>Mexico</v>
      </c>
      <c r="E50">
        <v>56.81</v>
      </c>
      <c r="G50" t="str">
        <v>North America</v>
      </c>
      <c r="H50" t="str">
        <v>Costa Rica</v>
      </c>
      <c r="I50" s="3">
        <f>IFERROR((
K50*'Best Country'!$E$12+
M50*'Best Country'!$E$15+
O50*'Best Country'!$E$18+
Q50*'Best Country'!$E$9+
S50*'Best Country'!$E$6+
U50*'Best Country'!$E$21+
W50*'Best Country'!$E$24+
Y50*'Best Country'!$E$27
)/SUM('Best Country'!$E$5:$E$28), "")</f>
        <v>0.60621419915644614</v>
      </c>
      <c r="J50">
        <v>0.45829140000000002</v>
      </c>
      <c r="K50">
        <f t="shared" si="0"/>
        <v>0.44154032293389789</v>
      </c>
      <c r="L50">
        <v>0.83299999999999996</v>
      </c>
      <c r="M50">
        <f t="shared" si="1"/>
        <v>0.76198630136986301</v>
      </c>
      <c r="N50">
        <v>80.799000000000007</v>
      </c>
      <c r="O50">
        <f t="shared" si="2"/>
        <v>0.84294584560235575</v>
      </c>
      <c r="P50">
        <v>19909</v>
      </c>
      <c r="Q50">
        <f t="shared" si="3"/>
        <v>7.5205094328028022E-2</v>
      </c>
      <c r="R50">
        <v>36.6</v>
      </c>
      <c r="S50">
        <f t="shared" si="4"/>
        <v>0.69518072289156629</v>
      </c>
      <c r="T50">
        <v>46.3</v>
      </c>
      <c r="U50">
        <f t="shared" si="5"/>
        <v>0.40791476407914756</v>
      </c>
      <c r="V50">
        <v>65.099999999999994</v>
      </c>
      <c r="W50">
        <f t="shared" si="6"/>
        <v>0.46202531645569633</v>
      </c>
      <c r="X50">
        <v>7.274</v>
      </c>
      <c r="Y50">
        <f t="shared" si="7"/>
        <v>0.92749529190207158</v>
      </c>
    </row>
    <row r="51" spans="1:25" x14ac:dyDescent="0.3">
      <c r="A51" t="str">
        <v>Hungary</v>
      </c>
      <c r="B51">
        <v>65.92</v>
      </c>
      <c r="D51" t="str">
        <v>Morocco</v>
      </c>
      <c r="E51">
        <v>53.17</v>
      </c>
      <c r="G51" t="str">
        <v>Europe</v>
      </c>
      <c r="H51" t="str">
        <v>Croatia</v>
      </c>
      <c r="I51" s="3">
        <f>IFERROR((
K51*'Best Country'!$E$12+
M51*'Best Country'!$E$15+
O51*'Best Country'!$E$18+
Q51*'Best Country'!$E$9+
S51*'Best Country'!$E$6+
U51*'Best Country'!$E$21+
W51*'Best Country'!$E$24+
Y51*'Best Country'!$E$27
)/SUM('Best Country'!$E$5:$E$28), "")</f>
        <v>0.6595471004441027</v>
      </c>
      <c r="J51">
        <v>0.30017322000000002</v>
      </c>
      <c r="K51">
        <f t="shared" si="0"/>
        <v>0.84752542147628374</v>
      </c>
      <c r="L51">
        <v>0.88900000000000001</v>
      </c>
      <c r="M51">
        <f t="shared" si="1"/>
        <v>0.85787671232876717</v>
      </c>
      <c r="N51">
        <v>78.58</v>
      </c>
      <c r="O51">
        <f t="shared" si="2"/>
        <v>0.77192420944821394</v>
      </c>
      <c r="P51">
        <v>25714</v>
      </c>
      <c r="Q51">
        <f t="shared" si="3"/>
        <v>9.7500460886130402E-2</v>
      </c>
      <c r="R51">
        <v>35</v>
      </c>
      <c r="S51">
        <f t="shared" si="4"/>
        <v>0.71445783132530116</v>
      </c>
      <c r="T51">
        <v>74.599999999999994</v>
      </c>
      <c r="U51">
        <f t="shared" si="5"/>
        <v>0.83866057838660568</v>
      </c>
      <c r="V51">
        <v>64.8</v>
      </c>
      <c r="W51">
        <f t="shared" si="6"/>
        <v>0.46835443037974689</v>
      </c>
      <c r="X51">
        <v>5.87</v>
      </c>
      <c r="Y51">
        <f t="shared" si="7"/>
        <v>0.70715630885122416</v>
      </c>
    </row>
    <row r="52" spans="1:25" x14ac:dyDescent="0.3">
      <c r="A52" t="str">
        <v>Iceland</v>
      </c>
      <c r="B52">
        <v>73.81</v>
      </c>
      <c r="D52" t="str">
        <v>Netherlands</v>
      </c>
      <c r="E52">
        <v>72.510000000000005</v>
      </c>
      <c r="G52" t="str">
        <v>North America</v>
      </c>
      <c r="H52" t="str">
        <v>Cuba</v>
      </c>
      <c r="I52" s="3" t="str">
        <f>IFERROR((
K52*'Best Country'!$E$12+
M52*'Best Country'!$E$15+
O52*'Best Country'!$E$18+
Q52*'Best Country'!$E$9+
S52*'Best Country'!$E$6+
U52*'Best Country'!$E$21+
W52*'Best Country'!$E$24+
Y52*'Best Country'!$E$27
)/SUM('Best Country'!$E$5:$E$28), "")</f>
        <v/>
      </c>
      <c r="J52" t="str">
        <v/>
      </c>
      <c r="K52" t="str">
        <f t="shared" si="0"/>
        <v/>
      </c>
      <c r="L52">
        <v>0.76200000000000001</v>
      </c>
      <c r="M52">
        <f t="shared" si="1"/>
        <v>0.6404109589041096</v>
      </c>
      <c r="N52">
        <v>78.084999999999994</v>
      </c>
      <c r="O52">
        <f t="shared" si="2"/>
        <v>0.75608116758417587</v>
      </c>
      <c r="P52">
        <v>18468</v>
      </c>
      <c r="Q52">
        <f t="shared" si="3"/>
        <v>6.9670620045474099E-2</v>
      </c>
      <c r="R52">
        <v>27.8</v>
      </c>
      <c r="S52">
        <f t="shared" si="4"/>
        <v>0.8012048192771084</v>
      </c>
      <c r="T52" t="str">
        <v/>
      </c>
      <c r="U52" t="str">
        <f t="shared" si="5"/>
        <v/>
      </c>
      <c r="V52" t="str">
        <v/>
      </c>
      <c r="W52" t="str">
        <f t="shared" si="6"/>
        <v/>
      </c>
      <c r="X52" t="str">
        <v/>
      </c>
      <c r="Y52" t="str">
        <f t="shared" si="7"/>
        <v/>
      </c>
    </row>
    <row r="53" spans="1:25" x14ac:dyDescent="0.3">
      <c r="A53" t="str">
        <v>Ireland</v>
      </c>
      <c r="B53">
        <v>73.2</v>
      </c>
      <c r="D53" t="str">
        <v>Nigeria</v>
      </c>
      <c r="E53">
        <v>39.96</v>
      </c>
      <c r="G53" t="str">
        <v>North America</v>
      </c>
      <c r="H53" t="str">
        <v>Curacao</v>
      </c>
      <c r="I53" s="3" t="str">
        <f>IFERROR((
K53*'Best Country'!$E$12+
M53*'Best Country'!$E$15+
O53*'Best Country'!$E$18+
Q53*'Best Country'!$E$9+
S53*'Best Country'!$E$6+
U53*'Best Country'!$E$21+
W53*'Best Country'!$E$24+
Y53*'Best Country'!$E$27
)/SUM('Best Country'!$E$5:$E$28), "")</f>
        <v/>
      </c>
      <c r="J53" t="str">
        <v/>
      </c>
      <c r="K53" t="str">
        <f t="shared" si="0"/>
        <v/>
      </c>
      <c r="L53" t="str">
        <v/>
      </c>
      <c r="M53" t="str">
        <f t="shared" si="1"/>
        <v/>
      </c>
      <c r="N53" t="str">
        <v/>
      </c>
      <c r="O53" t="str">
        <f t="shared" si="2"/>
        <v/>
      </c>
      <c r="P53">
        <v>17691</v>
      </c>
      <c r="Q53">
        <f t="shared" si="3"/>
        <v>6.6686382351133777E-2</v>
      </c>
      <c r="R53" t="str">
        <v/>
      </c>
      <c r="S53" t="str">
        <f t="shared" si="4"/>
        <v/>
      </c>
      <c r="T53" t="str">
        <v/>
      </c>
      <c r="U53" t="str">
        <f t="shared" si="5"/>
        <v/>
      </c>
      <c r="V53" t="str">
        <v/>
      </c>
      <c r="W53" t="str">
        <f t="shared" si="6"/>
        <v/>
      </c>
      <c r="X53" t="str">
        <v/>
      </c>
      <c r="Y53" t="str">
        <f t="shared" si="7"/>
        <v/>
      </c>
    </row>
    <row r="54" spans="1:25" x14ac:dyDescent="0.3">
      <c r="A54" t="str">
        <v>Italy</v>
      </c>
      <c r="B54">
        <v>66.37</v>
      </c>
      <c r="D54" t="str">
        <v>North Macedonia</v>
      </c>
      <c r="E54">
        <v>61.15</v>
      </c>
      <c r="G54" t="str">
        <v>Europe</v>
      </c>
      <c r="H54" t="str">
        <v>Cyprus</v>
      </c>
      <c r="I54" s="3">
        <f>IFERROR((
K54*'Best Country'!$E$12+
M54*'Best Country'!$E$15+
O54*'Best Country'!$E$18+
Q54*'Best Country'!$E$9+
S54*'Best Country'!$E$6+
U54*'Best Country'!$E$21+
W54*'Best Country'!$E$24+
Y54*'Best Country'!$E$27
)/SUM('Best Country'!$E$5:$E$28), "")</f>
        <v>0.66837601119978696</v>
      </c>
      <c r="J54">
        <v>0.31534076</v>
      </c>
      <c r="K54">
        <f t="shared" si="0"/>
        <v>0.80858116331731955</v>
      </c>
      <c r="L54">
        <v>0.91300000000000003</v>
      </c>
      <c r="M54">
        <f t="shared" si="1"/>
        <v>0.89897260273972612</v>
      </c>
      <c r="N54">
        <v>81.647999999999996</v>
      </c>
      <c r="O54">
        <f t="shared" si="2"/>
        <v>0.8701190628600689</v>
      </c>
      <c r="P54">
        <v>28259</v>
      </c>
      <c r="Q54">
        <f t="shared" si="3"/>
        <v>0.10727508756836478</v>
      </c>
      <c r="R54">
        <v>42.8</v>
      </c>
      <c r="S54">
        <f t="shared" si="4"/>
        <v>0.62048192771084343</v>
      </c>
      <c r="T54">
        <v>67.3</v>
      </c>
      <c r="U54">
        <f t="shared" si="5"/>
        <v>0.72754946727549463</v>
      </c>
      <c r="V54">
        <v>56.5</v>
      </c>
      <c r="W54">
        <f t="shared" si="6"/>
        <v>0.64345991561181437</v>
      </c>
      <c r="X54">
        <v>5.9420000000000002</v>
      </c>
      <c r="Y54">
        <f t="shared" si="7"/>
        <v>0.71845574387947275</v>
      </c>
    </row>
    <row r="55" spans="1:25" x14ac:dyDescent="0.3">
      <c r="A55" t="str">
        <v>Latvia</v>
      </c>
      <c r="B55">
        <v>64.150000000000006</v>
      </c>
      <c r="D55" t="str">
        <v>Norway</v>
      </c>
      <c r="E55">
        <v>73.53</v>
      </c>
      <c r="G55" t="str">
        <v>Europe</v>
      </c>
      <c r="H55" t="str">
        <v>Czech Republic</v>
      </c>
      <c r="I55" s="3">
        <f>IFERROR((
K55*'Best Country'!$E$12+
M55*'Best Country'!$E$15+
O55*'Best Country'!$E$18+
Q55*'Best Country'!$E$9+
S55*'Best Country'!$E$6+
U55*'Best Country'!$E$21+
W55*'Best Country'!$E$24+
Y55*'Best Country'!$E$27
)/SUM('Best Country'!$E$5:$E$28), "")</f>
        <v>0.69834211589520678</v>
      </c>
      <c r="J55">
        <v>0.25870389999999999</v>
      </c>
      <c r="K55">
        <f t="shared" si="0"/>
        <v>0.95400227294703643</v>
      </c>
      <c r="L55">
        <v>0.91500000000000004</v>
      </c>
      <c r="M55">
        <f t="shared" si="1"/>
        <v>0.90239726027397271</v>
      </c>
      <c r="N55">
        <v>79.834000000000003</v>
      </c>
      <c r="O55">
        <f t="shared" si="2"/>
        <v>0.81205991550377676</v>
      </c>
      <c r="P55">
        <v>33956</v>
      </c>
      <c r="Q55">
        <f t="shared" si="3"/>
        <v>0.12915565660910711</v>
      </c>
      <c r="R55">
        <v>35.9</v>
      </c>
      <c r="S55">
        <f t="shared" si="4"/>
        <v>0.70361445783132526</v>
      </c>
      <c r="T55">
        <v>73.400000000000006</v>
      </c>
      <c r="U55">
        <f t="shared" si="5"/>
        <v>0.82039573820395739</v>
      </c>
      <c r="V55">
        <v>75.5</v>
      </c>
      <c r="W55">
        <f t="shared" si="6"/>
        <v>0.2426160337552743</v>
      </c>
      <c r="X55">
        <v>6.7750000000000004</v>
      </c>
      <c r="Y55">
        <f t="shared" si="7"/>
        <v>0.8491839296924043</v>
      </c>
    </row>
    <row r="56" spans="1:25" x14ac:dyDescent="0.3">
      <c r="A56" t="str">
        <v>Lithuania</v>
      </c>
      <c r="B56">
        <v>64.430000000000007</v>
      </c>
      <c r="D56" t="str">
        <v>Pakistan</v>
      </c>
      <c r="E56">
        <v>48.78</v>
      </c>
      <c r="G56" t="str">
        <v>Africa</v>
      </c>
      <c r="H56" t="str">
        <v>DR Congo</v>
      </c>
      <c r="I56" s="3" t="str">
        <f>IFERROR((
K56*'Best Country'!$E$12+
M56*'Best Country'!$E$15+
O56*'Best Country'!$E$18+
Q56*'Best Country'!$E$9+
S56*'Best Country'!$E$6+
U56*'Best Country'!$E$21+
W56*'Best Country'!$E$24+
Y56*'Best Country'!$E$27
)/SUM('Best Country'!$E$5:$E$28), "")</f>
        <v/>
      </c>
      <c r="J56">
        <v>0.44673239999999997</v>
      </c>
      <c r="K56">
        <f t="shared" si="0"/>
        <v>0.47121927417183562</v>
      </c>
      <c r="L56">
        <v>0.52200000000000002</v>
      </c>
      <c r="M56">
        <f t="shared" si="1"/>
        <v>0.22945205479452058</v>
      </c>
      <c r="N56">
        <v>61.895000000000003</v>
      </c>
      <c r="O56">
        <f t="shared" si="2"/>
        <v>0.23790167712200741</v>
      </c>
      <c r="P56">
        <v>701</v>
      </c>
      <c r="Q56">
        <f t="shared" si="3"/>
        <v>1.4325877219934862E-3</v>
      </c>
      <c r="R56">
        <v>37.9</v>
      </c>
      <c r="S56">
        <f t="shared" si="4"/>
        <v>0.67951807228915673</v>
      </c>
      <c r="T56" t="str">
        <v/>
      </c>
      <c r="U56" t="str">
        <f t="shared" si="5"/>
        <v/>
      </c>
      <c r="V56" t="str">
        <v/>
      </c>
      <c r="W56" t="str">
        <f t="shared" si="6"/>
        <v/>
      </c>
      <c r="X56">
        <v>3.4689999999999999</v>
      </c>
      <c r="Y56">
        <f t="shared" si="7"/>
        <v>0.33035153797865657</v>
      </c>
    </row>
    <row r="57" spans="1:25" x14ac:dyDescent="0.3">
      <c r="A57" t="str">
        <v>Luxembourg</v>
      </c>
      <c r="B57">
        <v>71.569999999999993</v>
      </c>
      <c r="D57" t="str">
        <v>Panama</v>
      </c>
      <c r="E57">
        <v>59.13</v>
      </c>
      <c r="G57" t="str">
        <v>Europe</v>
      </c>
      <c r="H57" t="str">
        <v>Denmark</v>
      </c>
      <c r="I57" s="3">
        <f>IFERROR((
K57*'Best Country'!$E$12+
M57*'Best Country'!$E$15+
O57*'Best Country'!$E$18+
Q57*'Best Country'!$E$9+
S57*'Best Country'!$E$6+
U57*'Best Country'!$E$21+
W57*'Best Country'!$E$24+
Y57*'Best Country'!$E$27
)/SUM('Best Country'!$E$5:$E$28), "")</f>
        <v>0.72989814960339106</v>
      </c>
      <c r="J57">
        <v>0.29259402000000001</v>
      </c>
      <c r="K57">
        <f t="shared" si="0"/>
        <v>0.86698581659892204</v>
      </c>
      <c r="L57">
        <v>0.96199999999999997</v>
      </c>
      <c r="M57">
        <f t="shared" si="1"/>
        <v>0.98287671232876705</v>
      </c>
      <c r="N57">
        <v>81.933000000000007</v>
      </c>
      <c r="O57">
        <f t="shared" si="2"/>
        <v>0.87924081423633349</v>
      </c>
      <c r="P57">
        <v>74959</v>
      </c>
      <c r="Q57">
        <f t="shared" si="3"/>
        <v>0.28663660664905055</v>
      </c>
      <c r="R57">
        <v>54.3</v>
      </c>
      <c r="S57">
        <f t="shared" si="4"/>
        <v>0.48192771084337349</v>
      </c>
      <c r="T57">
        <v>74</v>
      </c>
      <c r="U57">
        <f t="shared" si="5"/>
        <v>0.82952815829528159</v>
      </c>
      <c r="V57">
        <v>78.3</v>
      </c>
      <c r="W57">
        <f t="shared" si="6"/>
        <v>0.18354430379746844</v>
      </c>
      <c r="X57">
        <v>7.5209999999999999</v>
      </c>
      <c r="Y57">
        <f t="shared" si="7"/>
        <v>0.96625863151286884</v>
      </c>
    </row>
    <row r="58" spans="1:25" x14ac:dyDescent="0.3">
      <c r="A58" t="str">
        <v>Malta</v>
      </c>
      <c r="B58">
        <v>68.430000000000007</v>
      </c>
      <c r="D58" t="str">
        <v>Peru</v>
      </c>
      <c r="E58">
        <v>56.54</v>
      </c>
      <c r="G58" t="str">
        <v>Africa</v>
      </c>
      <c r="H58" t="str">
        <v>Djibouti</v>
      </c>
      <c r="I58" s="3" t="str">
        <f>IFERROR((
K58*'Best Country'!$E$12+
M58*'Best Country'!$E$15+
O58*'Best Country'!$E$18+
Q58*'Best Country'!$E$9+
S58*'Best Country'!$E$6+
U58*'Best Country'!$E$21+
W58*'Best Country'!$E$24+
Y58*'Best Country'!$E$27
)/SUM('Best Country'!$E$5:$E$28), "")</f>
        <v/>
      </c>
      <c r="J58">
        <v>0.41586014999999998</v>
      </c>
      <c r="K58">
        <f t="shared" si="0"/>
        <v>0.5504870311019695</v>
      </c>
      <c r="L58">
        <v>0.51300000000000001</v>
      </c>
      <c r="M58">
        <f t="shared" si="1"/>
        <v>0.21404109589041098</v>
      </c>
      <c r="N58">
        <v>65.986999999999995</v>
      </c>
      <c r="O58">
        <f t="shared" si="2"/>
        <v>0.36887082319805375</v>
      </c>
      <c r="P58">
        <v>3874</v>
      </c>
      <c r="Q58">
        <f t="shared" si="3"/>
        <v>1.3619185153321453E-2</v>
      </c>
      <c r="R58" t="str">
        <v/>
      </c>
      <c r="S58" t="str">
        <f t="shared" si="4"/>
        <v/>
      </c>
      <c r="T58" t="str">
        <v/>
      </c>
      <c r="U58" t="str">
        <f t="shared" si="5"/>
        <v/>
      </c>
      <c r="V58" t="str">
        <v/>
      </c>
      <c r="W58" t="str">
        <f t="shared" si="6"/>
        <v/>
      </c>
      <c r="X58" t="str">
        <v/>
      </c>
      <c r="Y58" t="str">
        <f t="shared" si="7"/>
        <v/>
      </c>
    </row>
    <row r="59" spans="1:25" x14ac:dyDescent="0.3">
      <c r="A59" t="str">
        <v>Netherlands</v>
      </c>
      <c r="B59">
        <v>72.510000000000005</v>
      </c>
      <c r="D59" t="str">
        <v>Philippines</v>
      </c>
      <c r="E59">
        <v>55.24</v>
      </c>
      <c r="G59" t="str">
        <v>North America</v>
      </c>
      <c r="H59" t="str">
        <v>Dominica</v>
      </c>
      <c r="I59" s="3" t="str">
        <f>IFERROR((
K59*'Best Country'!$E$12+
M59*'Best Country'!$E$15+
O59*'Best Country'!$E$18+
Q59*'Best Country'!$E$9+
S59*'Best Country'!$E$6+
U59*'Best Country'!$E$21+
W59*'Best Country'!$E$24+
Y59*'Best Country'!$E$27
)/SUM('Best Country'!$E$5:$E$28), "")</f>
        <v/>
      </c>
      <c r="J59" t="str">
        <v/>
      </c>
      <c r="K59" t="str">
        <f t="shared" si="0"/>
        <v/>
      </c>
      <c r="L59">
        <v>0.76100000000000001</v>
      </c>
      <c r="M59">
        <f t="shared" si="1"/>
        <v>0.63869863013698636</v>
      </c>
      <c r="N59">
        <v>71.132000000000005</v>
      </c>
      <c r="O59">
        <f t="shared" si="2"/>
        <v>0.5335424401485086</v>
      </c>
      <c r="P59">
        <v>11264</v>
      </c>
      <c r="Q59">
        <f t="shared" si="3"/>
        <v>4.2002089350457815E-2</v>
      </c>
      <c r="R59" t="str">
        <v/>
      </c>
      <c r="S59" t="str">
        <f t="shared" si="4"/>
        <v/>
      </c>
      <c r="T59" t="str">
        <v/>
      </c>
      <c r="U59" t="str">
        <f t="shared" si="5"/>
        <v/>
      </c>
      <c r="V59" t="str">
        <v/>
      </c>
      <c r="W59" t="str">
        <f t="shared" si="6"/>
        <v/>
      </c>
      <c r="X59" t="str">
        <v/>
      </c>
      <c r="Y59" t="str">
        <f t="shared" si="7"/>
        <v/>
      </c>
    </row>
    <row r="60" spans="1:25" x14ac:dyDescent="0.3">
      <c r="A60" t="str">
        <v>North Macedonia</v>
      </c>
      <c r="B60">
        <v>61.15</v>
      </c>
      <c r="D60" t="str">
        <v>Poland</v>
      </c>
      <c r="E60">
        <v>70.069999999999993</v>
      </c>
      <c r="G60" t="str">
        <v>North America</v>
      </c>
      <c r="H60" t="str">
        <v>Dominican Republic</v>
      </c>
      <c r="I60" s="3" t="str">
        <f>IFERROR((
K60*'Best Country'!$E$12+
M60*'Best Country'!$E$15+
O60*'Best Country'!$E$18+
Q60*'Best Country'!$E$9+
S60*'Best Country'!$E$6+
U60*'Best Country'!$E$21+
W60*'Best Country'!$E$24+
Y60*'Best Country'!$E$27
)/SUM('Best Country'!$E$5:$E$28), "")</f>
        <v/>
      </c>
      <c r="J60">
        <v>0.38397565</v>
      </c>
      <c r="K60">
        <f t="shared" si="0"/>
        <v>0.63235384663497585</v>
      </c>
      <c r="L60">
        <v>0.77600000000000002</v>
      </c>
      <c r="M60">
        <f t="shared" si="1"/>
        <v>0.66438356164383572</v>
      </c>
      <c r="N60">
        <v>73.72</v>
      </c>
      <c r="O60">
        <f t="shared" si="2"/>
        <v>0.61637434387402368</v>
      </c>
      <c r="P60">
        <v>11096</v>
      </c>
      <c r="Q60">
        <f t="shared" si="3"/>
        <v>4.1356848767897747E-2</v>
      </c>
      <c r="R60">
        <v>24</v>
      </c>
      <c r="S60">
        <f t="shared" si="4"/>
        <v>0.84698795180722897</v>
      </c>
      <c r="T60" t="str">
        <v/>
      </c>
      <c r="U60" t="str">
        <f t="shared" si="5"/>
        <v/>
      </c>
      <c r="V60" t="str">
        <v/>
      </c>
      <c r="W60" t="str">
        <f t="shared" si="6"/>
        <v/>
      </c>
      <c r="X60">
        <v>5.8460000000000001</v>
      </c>
      <c r="Y60">
        <f t="shared" si="7"/>
        <v>0.70338983050847459</v>
      </c>
    </row>
    <row r="61" spans="1:25" x14ac:dyDescent="0.3">
      <c r="A61" t="str">
        <v>Norway</v>
      </c>
      <c r="B61">
        <v>73.53</v>
      </c>
      <c r="D61" t="str">
        <v>Portugal</v>
      </c>
      <c r="E61">
        <v>64.150000000000006</v>
      </c>
      <c r="G61" t="str">
        <v>South America</v>
      </c>
      <c r="H61" t="str">
        <v>Ecuador</v>
      </c>
      <c r="I61" s="3">
        <f>IFERROR((
K61*'Best Country'!$E$12+
M61*'Best Country'!$E$15+
O61*'Best Country'!$E$18+
Q61*'Best Country'!$E$9+
S61*'Best Country'!$E$6+
U61*'Best Country'!$E$21+
W61*'Best Country'!$E$24+
Y61*'Best Country'!$E$27
)/SUM('Best Country'!$E$5:$E$28), "")</f>
        <v>0.52543899260307392</v>
      </c>
      <c r="J61">
        <v>0.44579553999999999</v>
      </c>
      <c r="K61">
        <f t="shared" si="0"/>
        <v>0.47362476100086692</v>
      </c>
      <c r="L61">
        <v>0.77700000000000002</v>
      </c>
      <c r="M61">
        <f t="shared" si="1"/>
        <v>0.66609589041095896</v>
      </c>
      <c r="N61">
        <v>77.391999999999996</v>
      </c>
      <c r="O61">
        <f t="shared" si="2"/>
        <v>0.73390090897452287</v>
      </c>
      <c r="P61">
        <v>6871</v>
      </c>
      <c r="Q61">
        <f t="shared" si="3"/>
        <v>2.5129816260062679E-2</v>
      </c>
      <c r="R61">
        <v>20.100000000000001</v>
      </c>
      <c r="S61">
        <f t="shared" si="4"/>
        <v>0.89397590361445778</v>
      </c>
      <c r="T61">
        <v>37.4</v>
      </c>
      <c r="U61">
        <f t="shared" si="5"/>
        <v>0.27245053272450531</v>
      </c>
      <c r="V61">
        <v>78</v>
      </c>
      <c r="W61">
        <f t="shared" si="6"/>
        <v>0.189873417721519</v>
      </c>
      <c r="X61">
        <v>5.9649999999999999</v>
      </c>
      <c r="Y61">
        <f t="shared" si="7"/>
        <v>0.7220652856246077</v>
      </c>
    </row>
    <row r="62" spans="1:25" x14ac:dyDescent="0.3">
      <c r="A62" t="str">
        <v>Poland</v>
      </c>
      <c r="B62">
        <v>70.069999999999993</v>
      </c>
      <c r="D62" t="str">
        <v>Romania</v>
      </c>
      <c r="E62">
        <v>66.209999999999994</v>
      </c>
      <c r="G62" t="str">
        <v>Africa</v>
      </c>
      <c r="H62" t="str">
        <v>Egypt</v>
      </c>
      <c r="I62" s="3">
        <f>IFERROR((
K62*'Best Country'!$E$12+
M62*'Best Country'!$E$15+
O62*'Best Country'!$E$18+
Q62*'Best Country'!$E$9+
S62*'Best Country'!$E$6+
U62*'Best Country'!$E$21+
W62*'Best Country'!$E$24+
Y62*'Best Country'!$E$27
)/SUM('Best Country'!$E$5:$E$28), "")</f>
        <v>0.54752969136162155</v>
      </c>
      <c r="J62">
        <v>0.28482037999999998</v>
      </c>
      <c r="K62">
        <f t="shared" si="0"/>
        <v>0.88694545692259041</v>
      </c>
      <c r="L62">
        <v>0.754</v>
      </c>
      <c r="M62">
        <f t="shared" si="1"/>
        <v>0.62671232876712335</v>
      </c>
      <c r="N62">
        <v>71.632999999999996</v>
      </c>
      <c r="O62">
        <f t="shared" si="2"/>
        <v>0.54957751888362538</v>
      </c>
      <c r="P62">
        <v>2934</v>
      </c>
      <c r="Q62">
        <f t="shared" si="3"/>
        <v>1.0008910465187735E-2</v>
      </c>
      <c r="R62">
        <v>12.8</v>
      </c>
      <c r="S62">
        <f t="shared" si="4"/>
        <v>0.98192771084337349</v>
      </c>
      <c r="T62">
        <v>53.1</v>
      </c>
      <c r="U62">
        <f t="shared" si="5"/>
        <v>0.51141552511415522</v>
      </c>
      <c r="V62">
        <v>47.5</v>
      </c>
      <c r="W62">
        <f t="shared" si="6"/>
        <v>0.83333333333333337</v>
      </c>
      <c r="X62">
        <v>3.8170000000000002</v>
      </c>
      <c r="Y62">
        <f t="shared" si="7"/>
        <v>0.38496547394852487</v>
      </c>
    </row>
    <row r="63" spans="1:25" x14ac:dyDescent="0.3">
      <c r="A63" t="str">
        <v>Portugal</v>
      </c>
      <c r="B63">
        <v>64.150000000000006</v>
      </c>
      <c r="D63" t="str">
        <v>Russia</v>
      </c>
      <c r="E63">
        <v>60.07</v>
      </c>
      <c r="G63" t="str">
        <v>North America</v>
      </c>
      <c r="H63" t="str">
        <v>El Salvador</v>
      </c>
      <c r="I63" s="3" t="str">
        <f>IFERROR((
K63*'Best Country'!$E$12+
M63*'Best Country'!$E$15+
O63*'Best Country'!$E$18+
Q63*'Best Country'!$E$9+
S63*'Best Country'!$E$6+
U63*'Best Country'!$E$21+
W63*'Best Country'!$E$24+
Y63*'Best Country'!$E$27
)/SUM('Best Country'!$E$5:$E$28), "")</f>
        <v/>
      </c>
      <c r="J63">
        <v>0.39802377999999999</v>
      </c>
      <c r="K63">
        <f t="shared" si="0"/>
        <v>0.59628379167743562</v>
      </c>
      <c r="L63">
        <v>0.67800000000000005</v>
      </c>
      <c r="M63">
        <f t="shared" si="1"/>
        <v>0.49657534246575352</v>
      </c>
      <c r="N63">
        <v>72.099000000000004</v>
      </c>
      <c r="O63">
        <f t="shared" si="2"/>
        <v>0.56449238253744716</v>
      </c>
      <c r="P63">
        <v>5773</v>
      </c>
      <c r="Q63">
        <f t="shared" si="3"/>
        <v>2.091270816690223E-2</v>
      </c>
      <c r="R63">
        <v>28.2</v>
      </c>
      <c r="S63">
        <f t="shared" si="4"/>
        <v>0.79638554216867474</v>
      </c>
      <c r="T63" t="str">
        <v/>
      </c>
      <c r="U63" t="str">
        <f t="shared" si="5"/>
        <v/>
      </c>
      <c r="V63" t="str">
        <v/>
      </c>
      <c r="W63" t="str">
        <f t="shared" si="6"/>
        <v/>
      </c>
      <c r="X63">
        <v>6.492</v>
      </c>
      <c r="Y63">
        <f t="shared" si="7"/>
        <v>0.80477087256748281</v>
      </c>
    </row>
    <row r="64" spans="1:25" x14ac:dyDescent="0.3">
      <c r="A64" t="str">
        <v>Romania</v>
      </c>
      <c r="B64">
        <v>66.209999999999994</v>
      </c>
      <c r="D64" t="str">
        <v>Serbia</v>
      </c>
      <c r="E64">
        <v>65.38</v>
      </c>
      <c r="G64" t="str">
        <v>Africa</v>
      </c>
      <c r="H64" t="str">
        <v>Equatorial Guinea</v>
      </c>
      <c r="I64" s="3" t="str">
        <f>IFERROR((
K64*'Best Country'!$E$12+
M64*'Best Country'!$E$15+
O64*'Best Country'!$E$18+
Q64*'Best Country'!$E$9+
S64*'Best Country'!$E$6+
U64*'Best Country'!$E$21+
W64*'Best Country'!$E$24+
Y64*'Best Country'!$E$27
)/SUM('Best Country'!$E$5:$E$28), "")</f>
        <v/>
      </c>
      <c r="J64">
        <v>0.38542363000000002</v>
      </c>
      <c r="K64">
        <f t="shared" si="0"/>
        <v>0.62863600531535402</v>
      </c>
      <c r="L64">
        <v>0.67400000000000004</v>
      </c>
      <c r="M64">
        <f t="shared" si="1"/>
        <v>0.48972602739726034</v>
      </c>
      <c r="N64">
        <v>63.707000000000001</v>
      </c>
      <c r="O64">
        <f t="shared" si="2"/>
        <v>0.29589681218794001</v>
      </c>
      <c r="P64">
        <v>6543</v>
      </c>
      <c r="Q64">
        <f t="shared" si="3"/>
        <v>2.3870060836969211E-2</v>
      </c>
      <c r="R64" t="str">
        <v/>
      </c>
      <c r="S64" t="str">
        <f t="shared" si="4"/>
        <v/>
      </c>
      <c r="T64" t="str">
        <v/>
      </c>
      <c r="U64" t="str">
        <f t="shared" si="5"/>
        <v/>
      </c>
      <c r="V64" t="str">
        <v/>
      </c>
      <c r="W64" t="str">
        <f t="shared" si="6"/>
        <v/>
      </c>
      <c r="X64" t="str">
        <v/>
      </c>
      <c r="Y64" t="str">
        <f t="shared" si="7"/>
        <v/>
      </c>
    </row>
    <row r="65" spans="1:25" x14ac:dyDescent="0.3">
      <c r="A65" t="str">
        <v>Serbia</v>
      </c>
      <c r="B65">
        <v>65.38</v>
      </c>
      <c r="D65" t="str">
        <v>Slovakia</v>
      </c>
      <c r="E65">
        <v>68.790000000000006</v>
      </c>
      <c r="G65" t="str">
        <v>Africa</v>
      </c>
      <c r="H65" t="str">
        <v>Eritrea</v>
      </c>
      <c r="I65" s="3" t="str">
        <f>IFERROR((
K65*'Best Country'!$E$12+
M65*'Best Country'!$E$15+
O65*'Best Country'!$E$18+
Q65*'Best Country'!$E$9+
S65*'Best Country'!$E$6+
U65*'Best Country'!$E$21+
W65*'Best Country'!$E$24+
Y65*'Best Country'!$E$27
)/SUM('Best Country'!$E$5:$E$28), "")</f>
        <v/>
      </c>
      <c r="J65" t="str">
        <v/>
      </c>
      <c r="K65" t="str">
        <f t="shared" si="0"/>
        <v/>
      </c>
      <c r="L65">
        <v>0.503</v>
      </c>
      <c r="M65">
        <f t="shared" si="1"/>
        <v>0.19691780821917809</v>
      </c>
      <c r="N65">
        <v>68.623999999999995</v>
      </c>
      <c r="O65">
        <f t="shared" si="2"/>
        <v>0.45327102803738289</v>
      </c>
      <c r="P65">
        <v>631</v>
      </c>
      <c r="Q65">
        <f t="shared" si="3"/>
        <v>1.1637374792601242E-3</v>
      </c>
      <c r="R65" t="str">
        <v/>
      </c>
      <c r="S65" t="str">
        <f t="shared" si="4"/>
        <v/>
      </c>
      <c r="T65" t="str">
        <v/>
      </c>
      <c r="U65" t="str">
        <f t="shared" si="5"/>
        <v/>
      </c>
      <c r="V65" t="str">
        <v/>
      </c>
      <c r="W65" t="str">
        <f t="shared" si="6"/>
        <v/>
      </c>
      <c r="X65" t="str">
        <v/>
      </c>
      <c r="Y65" t="str">
        <f t="shared" si="7"/>
        <v/>
      </c>
    </row>
    <row r="66" spans="1:25" x14ac:dyDescent="0.3">
      <c r="A66" t="str">
        <v>Slovakia</v>
      </c>
      <c r="B66">
        <v>68.790000000000006</v>
      </c>
      <c r="D66" t="str">
        <v>Slovenia</v>
      </c>
      <c r="E66">
        <v>72.84</v>
      </c>
      <c r="G66" t="str">
        <v>Europe</v>
      </c>
      <c r="H66" t="str">
        <v>Estonia</v>
      </c>
      <c r="I66" s="3">
        <f>IFERROR((
K66*'Best Country'!$E$12+
M66*'Best Country'!$E$15+
O66*'Best Country'!$E$18+
Q66*'Best Country'!$E$9+
S66*'Best Country'!$E$6+
U66*'Best Country'!$E$21+
W66*'Best Country'!$E$24+
Y66*'Best Country'!$E$27
)/SUM('Best Country'!$E$5:$E$28), "")</f>
        <v>0.66557359810154726</v>
      </c>
      <c r="J66">
        <v>0.32252404000000001</v>
      </c>
      <c r="K66">
        <f t="shared" si="0"/>
        <v>0.79013733453901236</v>
      </c>
      <c r="L66">
        <v>0.90500000000000003</v>
      </c>
      <c r="M66">
        <f t="shared" si="1"/>
        <v>0.88527397260273977</v>
      </c>
      <c r="N66">
        <v>79.153000000000006</v>
      </c>
      <c r="O66">
        <f t="shared" si="2"/>
        <v>0.7902637306362823</v>
      </c>
      <c r="P66">
        <v>33479</v>
      </c>
      <c r="Q66">
        <f t="shared" si="3"/>
        <v>0.12732363424076693</v>
      </c>
      <c r="R66">
        <v>38.5</v>
      </c>
      <c r="S66">
        <f t="shared" si="4"/>
        <v>0.67228915662650601</v>
      </c>
      <c r="T66">
        <v>76.5</v>
      </c>
      <c r="U66">
        <f t="shared" si="5"/>
        <v>0.86757990867579904</v>
      </c>
      <c r="V66">
        <v>74.8</v>
      </c>
      <c r="W66">
        <f t="shared" si="6"/>
        <v>0.25738396624472581</v>
      </c>
      <c r="X66">
        <v>6.4169999999999998</v>
      </c>
      <c r="Y66">
        <f t="shared" si="7"/>
        <v>0.79300062774639046</v>
      </c>
    </row>
    <row r="67" spans="1:25" x14ac:dyDescent="0.3">
      <c r="A67" t="str">
        <v>Slovenia</v>
      </c>
      <c r="B67">
        <v>72.84</v>
      </c>
      <c r="D67" t="str">
        <v>South Africa</v>
      </c>
      <c r="E67">
        <v>39.99</v>
      </c>
      <c r="G67" t="str">
        <v>Africa</v>
      </c>
      <c r="H67" t="str">
        <v>Eswatini</v>
      </c>
      <c r="I67" s="3" t="str">
        <f>IFERROR((
K67*'Best Country'!$E$12+
M67*'Best Country'!$E$15+
O67*'Best Country'!$E$18+
Q67*'Best Country'!$E$9+
S67*'Best Country'!$E$6+
U67*'Best Country'!$E$21+
W67*'Best Country'!$E$24+
Y67*'Best Country'!$E$27
)/SUM('Best Country'!$E$5:$E$28), "")</f>
        <v/>
      </c>
      <c r="J67">
        <v>0.54579794000000004</v>
      </c>
      <c r="K67">
        <f t="shared" si="0"/>
        <v>0.21685805512001821</v>
      </c>
      <c r="L67">
        <v>0.69499999999999995</v>
      </c>
      <c r="M67">
        <f t="shared" si="1"/>
        <v>0.52568493150684925</v>
      </c>
      <c r="N67">
        <v>64.123000000000005</v>
      </c>
      <c r="O67">
        <f t="shared" si="2"/>
        <v>0.30921136858276793</v>
      </c>
      <c r="P67">
        <v>4365</v>
      </c>
      <c r="Q67">
        <f t="shared" si="3"/>
        <v>1.5504977570208321E-2</v>
      </c>
      <c r="R67" t="str">
        <v/>
      </c>
      <c r="S67" t="str">
        <f t="shared" si="4"/>
        <v/>
      </c>
      <c r="T67" t="str">
        <v/>
      </c>
      <c r="U67" t="str">
        <f t="shared" si="5"/>
        <v/>
      </c>
      <c r="V67" t="str">
        <v/>
      </c>
      <c r="W67" t="str">
        <f t="shared" si="6"/>
        <v/>
      </c>
      <c r="X67">
        <v>3.774</v>
      </c>
      <c r="Y67">
        <f t="shared" si="7"/>
        <v>0.37821720025109856</v>
      </c>
    </row>
    <row r="68" spans="1:25" x14ac:dyDescent="0.3">
      <c r="A68" t="str">
        <v>Spain</v>
      </c>
      <c r="B68">
        <v>66.48</v>
      </c>
      <c r="D68" t="str">
        <v>South Korea</v>
      </c>
      <c r="E68">
        <v>65.91</v>
      </c>
      <c r="G68" t="str">
        <v>Africa</v>
      </c>
      <c r="H68" t="str">
        <v>Ethiopia</v>
      </c>
      <c r="I68" s="3" t="str">
        <f>IFERROR((
K68*'Best Country'!$E$12+
M68*'Best Country'!$E$15+
O68*'Best Country'!$E$18+
Q68*'Best Country'!$E$9+
S68*'Best Country'!$E$6+
U68*'Best Country'!$E$21+
W68*'Best Country'!$E$24+
Y68*'Best Country'!$E$27
)/SUM('Best Country'!$E$5:$E$28), "")</f>
        <v/>
      </c>
      <c r="J68">
        <v>0.31141794</v>
      </c>
      <c r="K68">
        <f t="shared" si="0"/>
        <v>0.81865341727485963</v>
      </c>
      <c r="L68">
        <v>0.497</v>
      </c>
      <c r="M68">
        <f t="shared" si="1"/>
        <v>0.18664383561643835</v>
      </c>
      <c r="N68">
        <v>67.314999999999998</v>
      </c>
      <c r="O68">
        <f t="shared" si="2"/>
        <v>0.41137498399692723</v>
      </c>
      <c r="P68">
        <v>867</v>
      </c>
      <c r="Q68">
        <f t="shared" si="3"/>
        <v>2.0701468690468875E-3</v>
      </c>
      <c r="R68">
        <v>30.7</v>
      </c>
      <c r="S68">
        <f t="shared" si="4"/>
        <v>0.76626506024096386</v>
      </c>
      <c r="T68" t="str">
        <v/>
      </c>
      <c r="U68" t="str">
        <f t="shared" si="5"/>
        <v/>
      </c>
      <c r="V68" t="str">
        <v/>
      </c>
      <c r="W68" t="str">
        <f t="shared" si="6"/>
        <v/>
      </c>
      <c r="X68">
        <v>3.8980000000000001</v>
      </c>
      <c r="Y68">
        <f t="shared" si="7"/>
        <v>0.39767733835530444</v>
      </c>
    </row>
    <row r="69" spans="1:25" x14ac:dyDescent="0.3">
      <c r="A69" t="str">
        <v>Sweden</v>
      </c>
      <c r="B69">
        <v>70.83</v>
      </c>
      <c r="D69" t="str">
        <v>Spain</v>
      </c>
      <c r="E69">
        <v>66.48</v>
      </c>
      <c r="G69" t="str">
        <v>South America</v>
      </c>
      <c r="H69" t="str">
        <v>Falkland Islands</v>
      </c>
      <c r="I69" s="3" t="str">
        <f>IFERROR((
K69*'Best Country'!$E$12+
M69*'Best Country'!$E$15+
O69*'Best Country'!$E$18+
Q69*'Best Country'!$E$9+
S69*'Best Country'!$E$6+
U69*'Best Country'!$E$21+
W69*'Best Country'!$E$24+
Y69*'Best Country'!$E$27
)/SUM('Best Country'!$E$5:$E$28), "")</f>
        <v/>
      </c>
      <c r="J69" t="str">
        <v/>
      </c>
      <c r="K69" t="str">
        <f t="shared" si="0"/>
        <v/>
      </c>
      <c r="L69" t="str">
        <v/>
      </c>
      <c r="M69" t="str">
        <f t="shared" si="1"/>
        <v/>
      </c>
      <c r="N69" t="str">
        <v/>
      </c>
      <c r="O69" t="str">
        <f t="shared" si="2"/>
        <v/>
      </c>
      <c r="P69" t="str">
        <v/>
      </c>
      <c r="Q69" t="str">
        <f t="shared" si="3"/>
        <v/>
      </c>
      <c r="R69" t="str">
        <v/>
      </c>
      <c r="S69" t="str">
        <f t="shared" si="4"/>
        <v/>
      </c>
      <c r="T69" t="str">
        <v/>
      </c>
      <c r="U69" t="str">
        <f t="shared" si="5"/>
        <v/>
      </c>
      <c r="V69" t="str">
        <v/>
      </c>
      <c r="W69" t="str">
        <f t="shared" si="6"/>
        <v/>
      </c>
      <c r="X69" t="str">
        <v/>
      </c>
      <c r="Y69" t="str">
        <f t="shared" si="7"/>
        <v/>
      </c>
    </row>
    <row r="70" spans="1:25" x14ac:dyDescent="0.3">
      <c r="A70" t="str">
        <v>Switzerland</v>
      </c>
      <c r="B70">
        <v>69.92</v>
      </c>
      <c r="D70" t="str">
        <v>Sri Lanka</v>
      </c>
      <c r="E70">
        <v>51.38</v>
      </c>
      <c r="G70" t="str">
        <v>Europe</v>
      </c>
      <c r="H70" t="str">
        <v>Faroe Islands</v>
      </c>
      <c r="I70" s="3" t="str">
        <f>IFERROR((
K70*'Best Country'!$E$12+
M70*'Best Country'!$E$15+
O70*'Best Country'!$E$18+
Q70*'Best Country'!$E$9+
S70*'Best Country'!$E$6+
U70*'Best Country'!$E$21+
W70*'Best Country'!$E$24+
Y70*'Best Country'!$E$27
)/SUM('Best Country'!$E$5:$E$28), "")</f>
        <v/>
      </c>
      <c r="J70" t="str">
        <v/>
      </c>
      <c r="K70" t="str">
        <f t="shared" ref="K70:K133" si="8">IFERROR(1-(J70-J$3)/(J$2-J$3), "")</f>
        <v/>
      </c>
      <c r="L70" t="str">
        <v/>
      </c>
      <c r="M70" t="str">
        <f t="shared" ref="M70:M133" si="9">IFERROR((L70-L$3)/(L$2-L$3), "")</f>
        <v/>
      </c>
      <c r="N70" t="str">
        <v/>
      </c>
      <c r="O70" t="str">
        <f t="shared" ref="O70:O133" si="10">IFERROR((N70-N$3)/(N$2-N$3), "")</f>
        <v/>
      </c>
      <c r="P70" t="str">
        <v/>
      </c>
      <c r="Q70" t="str">
        <f t="shared" ref="Q70:Q133" si="11">IFERROR((P70-P$3)/(P$2-P$3), "")</f>
        <v/>
      </c>
      <c r="R70" t="str">
        <v/>
      </c>
      <c r="S70" t="str">
        <f t="shared" ref="S70:S133" si="12">IFERROR(1-(R70-R$3)/(R$2-R$3), "")</f>
        <v/>
      </c>
      <c r="T70" t="str">
        <v/>
      </c>
      <c r="U70" t="str">
        <f t="shared" ref="U70:U133" si="13">IFERROR((T70-T$3)/(T$2-T$3), "")</f>
        <v/>
      </c>
      <c r="V70" t="str">
        <v/>
      </c>
      <c r="W70" t="str">
        <f t="shared" ref="W70:W133" si="14">IFERROR(1-(V70-V$3)/(V$2-V$3), "")</f>
        <v/>
      </c>
      <c r="X70" t="str">
        <v/>
      </c>
      <c r="Y70" t="str">
        <f t="shared" ref="Y70:Y133" si="15">IFERROR((X70-X$3)/(X$2-X$3), "")</f>
        <v/>
      </c>
    </row>
    <row r="71" spans="1:25" x14ac:dyDescent="0.3">
      <c r="A71" t="str">
        <v>Ukraine</v>
      </c>
      <c r="B71">
        <v>57.84</v>
      </c>
      <c r="D71" t="str">
        <v>Sweden</v>
      </c>
      <c r="E71">
        <v>70.83</v>
      </c>
      <c r="G71" t="str">
        <v>Oceania</v>
      </c>
      <c r="H71" t="str">
        <v>Fiji</v>
      </c>
      <c r="I71" s="3" t="str">
        <f>IFERROR((
K71*'Best Country'!$E$12+
M71*'Best Country'!$E$15+
O71*'Best Country'!$E$18+
Q71*'Best Country'!$E$9+
S71*'Best Country'!$E$6+
U71*'Best Country'!$E$21+
W71*'Best Country'!$E$24+
Y71*'Best Country'!$E$27
)/SUM('Best Country'!$E$5:$E$28), "")</f>
        <v/>
      </c>
      <c r="J71">
        <v>0.30706867999999998</v>
      </c>
      <c r="K71">
        <f t="shared" si="8"/>
        <v>0.82982060089464627</v>
      </c>
      <c r="L71">
        <v>0.73099999999999998</v>
      </c>
      <c r="M71">
        <f t="shared" si="9"/>
        <v>0.58732876712328763</v>
      </c>
      <c r="N71">
        <v>67.316000000000003</v>
      </c>
      <c r="O71">
        <f t="shared" si="10"/>
        <v>0.41140699014210724</v>
      </c>
      <c r="P71">
        <v>6705</v>
      </c>
      <c r="Q71">
        <f t="shared" si="11"/>
        <v>2.4492257113009279E-2</v>
      </c>
      <c r="R71">
        <v>26.2</v>
      </c>
      <c r="S71">
        <f t="shared" si="12"/>
        <v>0.82048192771084338</v>
      </c>
      <c r="T71" t="str">
        <v/>
      </c>
      <c r="U71" t="str">
        <f t="shared" si="13"/>
        <v/>
      </c>
      <c r="V71" t="str">
        <v/>
      </c>
      <c r="W71" t="str">
        <f t="shared" si="14"/>
        <v/>
      </c>
      <c r="X71" t="str">
        <v/>
      </c>
      <c r="Y71" t="str">
        <f t="shared" si="15"/>
        <v/>
      </c>
    </row>
    <row r="72" spans="1:25" x14ac:dyDescent="0.3">
      <c r="A72" t="str">
        <v>United Kingdom</v>
      </c>
      <c r="B72">
        <v>66.14</v>
      </c>
      <c r="D72" t="str">
        <v>Switzerland</v>
      </c>
      <c r="E72">
        <v>69.92</v>
      </c>
      <c r="G72" t="str">
        <v>Europe</v>
      </c>
      <c r="H72" t="str">
        <v>Finland</v>
      </c>
      <c r="I72" s="3">
        <f>IFERROR((
K72*'Best Country'!$E$12+
M72*'Best Country'!$E$15+
O72*'Best Country'!$E$18+
Q72*'Best Country'!$E$9+
S72*'Best Country'!$E$6+
U72*'Best Country'!$E$21+
W72*'Best Country'!$E$24+
Y72*'Best Country'!$E$27
)/SUM('Best Country'!$E$5:$E$28), "")</f>
        <v>0.73572223889243682</v>
      </c>
      <c r="J72">
        <v>0.27925923000000002</v>
      </c>
      <c r="K72">
        <f t="shared" si="8"/>
        <v>0.90122429589454778</v>
      </c>
      <c r="L72">
        <v>0.94799999999999995</v>
      </c>
      <c r="M72">
        <f t="shared" si="9"/>
        <v>0.95890410958904104</v>
      </c>
      <c r="N72">
        <v>81.91</v>
      </c>
      <c r="O72">
        <f t="shared" si="10"/>
        <v>0.87850467289719603</v>
      </c>
      <c r="P72">
        <v>54051</v>
      </c>
      <c r="Q72">
        <f t="shared" si="11"/>
        <v>0.20633487986234866</v>
      </c>
      <c r="R72">
        <v>45.6</v>
      </c>
      <c r="S72">
        <f t="shared" si="12"/>
        <v>0.58674698795180724</v>
      </c>
      <c r="T72">
        <v>73.5</v>
      </c>
      <c r="U72">
        <f t="shared" si="13"/>
        <v>0.82191780821917804</v>
      </c>
      <c r="V72">
        <v>77.400000000000006</v>
      </c>
      <c r="W72">
        <f t="shared" si="14"/>
        <v>0.20253164556962011</v>
      </c>
      <c r="X72">
        <v>7.7359999999999998</v>
      </c>
      <c r="Y72">
        <f t="shared" si="15"/>
        <v>1</v>
      </c>
    </row>
    <row r="73" spans="1:25" x14ac:dyDescent="0.3">
      <c r="D73" t="str">
        <v>Thailand</v>
      </c>
      <c r="E73">
        <v>59.55</v>
      </c>
      <c r="G73" t="str">
        <v>Europe</v>
      </c>
      <c r="H73" t="str">
        <v>France</v>
      </c>
      <c r="I73" s="3">
        <f>IFERROR((
K73*'Best Country'!$E$12+
M73*'Best Country'!$E$15+
O73*'Best Country'!$E$18+
Q73*'Best Country'!$E$9+
S73*'Best Country'!$E$6+
U73*'Best Country'!$E$21+
W73*'Best Country'!$E$24+
Y73*'Best Country'!$E$27
)/SUM('Best Country'!$E$5:$E$28), "")</f>
        <v>0.64577586703859424</v>
      </c>
      <c r="J73">
        <v>0.31236910000000001</v>
      </c>
      <c r="K73">
        <f t="shared" si="8"/>
        <v>0.81621121368808947</v>
      </c>
      <c r="L73">
        <v>0.92</v>
      </c>
      <c r="M73">
        <f t="shared" si="9"/>
        <v>0.91095890410958913</v>
      </c>
      <c r="N73">
        <v>83.325000000000003</v>
      </c>
      <c r="O73">
        <f t="shared" si="10"/>
        <v>0.92379336832671877</v>
      </c>
      <c r="P73">
        <v>48181</v>
      </c>
      <c r="Q73">
        <f t="shared" si="11"/>
        <v>0.1837898666502796</v>
      </c>
      <c r="R73">
        <v>46</v>
      </c>
      <c r="S73">
        <f t="shared" si="12"/>
        <v>0.58192771084337347</v>
      </c>
      <c r="T73">
        <v>44.4</v>
      </c>
      <c r="U73">
        <f t="shared" si="13"/>
        <v>0.37899543378995432</v>
      </c>
      <c r="V73">
        <v>77.2</v>
      </c>
      <c r="W73">
        <f t="shared" si="14"/>
        <v>0.20675105485232059</v>
      </c>
      <c r="X73">
        <v>6.593</v>
      </c>
      <c r="Y73">
        <f t="shared" si="15"/>
        <v>0.82062146892655374</v>
      </c>
    </row>
    <row r="74" spans="1:25" x14ac:dyDescent="0.3">
      <c r="D74" t="str">
        <v>Tunisia</v>
      </c>
      <c r="E74">
        <v>55.36</v>
      </c>
      <c r="G74" t="str">
        <v>South America</v>
      </c>
      <c r="H74" t="str">
        <v>French Guiana</v>
      </c>
      <c r="I74" s="3" t="str">
        <f>IFERROR((
K74*'Best Country'!$E$12+
M74*'Best Country'!$E$15+
O74*'Best Country'!$E$18+
Q74*'Best Country'!$E$9+
S74*'Best Country'!$E$6+
U74*'Best Country'!$E$21+
W74*'Best Country'!$E$24+
Y74*'Best Country'!$E$27
)/SUM('Best Country'!$E$5:$E$28), "")</f>
        <v/>
      </c>
      <c r="J74" t="str">
        <v/>
      </c>
      <c r="K74" t="str">
        <f t="shared" si="8"/>
        <v/>
      </c>
      <c r="L74" t="str">
        <v/>
      </c>
      <c r="M74" t="str">
        <f t="shared" si="9"/>
        <v/>
      </c>
      <c r="N74" t="str">
        <v/>
      </c>
      <c r="O74" t="str">
        <f t="shared" si="10"/>
        <v/>
      </c>
      <c r="P74" t="str">
        <v/>
      </c>
      <c r="Q74" t="str">
        <f t="shared" si="11"/>
        <v/>
      </c>
      <c r="R74" t="str">
        <v/>
      </c>
      <c r="S74" t="str">
        <f t="shared" si="12"/>
        <v/>
      </c>
      <c r="T74" t="str">
        <v/>
      </c>
      <c r="U74" t="str">
        <f t="shared" si="13"/>
        <v/>
      </c>
      <c r="V74" t="str">
        <v/>
      </c>
      <c r="W74" t="str">
        <f t="shared" si="14"/>
        <v/>
      </c>
      <c r="X74" t="str">
        <v/>
      </c>
      <c r="Y74" t="str">
        <f t="shared" si="15"/>
        <v/>
      </c>
    </row>
    <row r="75" spans="1:25" x14ac:dyDescent="0.3">
      <c r="D75" t="str">
        <v>Turkey</v>
      </c>
      <c r="E75">
        <v>55.86</v>
      </c>
      <c r="G75" t="str">
        <v>Oceania</v>
      </c>
      <c r="H75" t="str">
        <v>French Polynesia</v>
      </c>
      <c r="I75" s="3" t="str">
        <f>IFERROR((
K75*'Best Country'!$E$12+
M75*'Best Country'!$E$15+
O75*'Best Country'!$E$18+
Q75*'Best Country'!$E$9+
S75*'Best Country'!$E$6+
U75*'Best Country'!$E$21+
W75*'Best Country'!$E$24+
Y75*'Best Country'!$E$27
)/SUM('Best Country'!$E$5:$E$28), "")</f>
        <v/>
      </c>
      <c r="J75" t="str">
        <v/>
      </c>
      <c r="K75" t="str">
        <f t="shared" si="8"/>
        <v/>
      </c>
      <c r="L75" t="str">
        <v/>
      </c>
      <c r="M75" t="str">
        <f t="shared" si="9"/>
        <v/>
      </c>
      <c r="N75" t="str">
        <v/>
      </c>
      <c r="O75" t="str">
        <f t="shared" si="10"/>
        <v/>
      </c>
      <c r="P75">
        <v>22651</v>
      </c>
      <c r="Q75">
        <f t="shared" si="11"/>
        <v>8.5736342407669142E-2</v>
      </c>
      <c r="R75" t="str">
        <v/>
      </c>
      <c r="S75" t="str">
        <f t="shared" si="12"/>
        <v/>
      </c>
      <c r="T75" t="str">
        <v/>
      </c>
      <c r="U75" t="str">
        <f t="shared" si="13"/>
        <v/>
      </c>
      <c r="V75" t="str">
        <v/>
      </c>
      <c r="W75" t="str">
        <f t="shared" si="14"/>
        <v/>
      </c>
      <c r="X75" t="str">
        <v/>
      </c>
      <c r="Y75" t="str">
        <f t="shared" si="15"/>
        <v/>
      </c>
    </row>
    <row r="76" spans="1:25" x14ac:dyDescent="0.3">
      <c r="D76" t="str">
        <v>Ukraine</v>
      </c>
      <c r="E76">
        <v>57.84</v>
      </c>
      <c r="G76" t="str">
        <v>Africa</v>
      </c>
      <c r="H76" t="str">
        <v>Gabon</v>
      </c>
      <c r="I76" s="3" t="str">
        <f>IFERROR((
K76*'Best Country'!$E$12+
M76*'Best Country'!$E$15+
O76*'Best Country'!$E$18+
Q76*'Best Country'!$E$9+
S76*'Best Country'!$E$6+
U76*'Best Country'!$E$21+
W76*'Best Country'!$E$24+
Y76*'Best Country'!$E$27
)/SUM('Best Country'!$E$5:$E$28), "")</f>
        <v/>
      </c>
      <c r="J76">
        <v>0.38024372000000001</v>
      </c>
      <c r="K76">
        <f t="shared" si="8"/>
        <v>0.64193597039078487</v>
      </c>
      <c r="L76">
        <v>0.73299999999999998</v>
      </c>
      <c r="M76">
        <f t="shared" si="9"/>
        <v>0.59075342465753422</v>
      </c>
      <c r="N76">
        <v>68.337000000000003</v>
      </c>
      <c r="O76">
        <f t="shared" si="10"/>
        <v>0.44408526437075918</v>
      </c>
      <c r="P76">
        <v>7863</v>
      </c>
      <c r="Q76">
        <f t="shared" si="11"/>
        <v>2.8939808271369754E-2</v>
      </c>
      <c r="R76" t="str">
        <v/>
      </c>
      <c r="S76" t="str">
        <f t="shared" si="12"/>
        <v/>
      </c>
      <c r="T76" t="str">
        <v/>
      </c>
      <c r="U76" t="str">
        <f t="shared" si="13"/>
        <v/>
      </c>
      <c r="V76" t="str">
        <v/>
      </c>
      <c r="W76" t="str">
        <f t="shared" si="14"/>
        <v/>
      </c>
      <c r="X76">
        <v>5.12</v>
      </c>
      <c r="Y76">
        <f t="shared" si="15"/>
        <v>0.58945386064030136</v>
      </c>
    </row>
    <row r="77" spans="1:25" x14ac:dyDescent="0.3">
      <c r="D77" t="str">
        <v>United Arab Emirates</v>
      </c>
      <c r="E77">
        <v>72.84</v>
      </c>
      <c r="G77" t="str">
        <v>Africa</v>
      </c>
      <c r="H77" t="str">
        <v>Gambia</v>
      </c>
      <c r="I77" s="3" t="str">
        <f>IFERROR((
K77*'Best Country'!$E$12+
M77*'Best Country'!$E$15+
O77*'Best Country'!$E$18+
Q77*'Best Country'!$E$9+
S77*'Best Country'!$E$6+
U77*'Best Country'!$E$21+
W77*'Best Country'!$E$24+
Y77*'Best Country'!$E$27
)/SUM('Best Country'!$E$5:$E$28), "")</f>
        <v/>
      </c>
      <c r="J77">
        <v>0.38757205</v>
      </c>
      <c r="K77">
        <f t="shared" si="8"/>
        <v>0.62311971044394565</v>
      </c>
      <c r="L77">
        <v>0.52400000000000002</v>
      </c>
      <c r="M77">
        <f t="shared" si="9"/>
        <v>0.23287671232876717</v>
      </c>
      <c r="N77">
        <v>65.86</v>
      </c>
      <c r="O77">
        <f t="shared" si="10"/>
        <v>0.36480604276020984</v>
      </c>
      <c r="P77">
        <v>982</v>
      </c>
      <c r="Q77">
        <f t="shared" si="11"/>
        <v>2.5118294106802677E-3</v>
      </c>
      <c r="R77" t="str">
        <v/>
      </c>
      <c r="S77" t="str">
        <f t="shared" si="12"/>
        <v/>
      </c>
      <c r="T77" t="str">
        <v/>
      </c>
      <c r="U77" t="str">
        <f t="shared" si="13"/>
        <v/>
      </c>
      <c r="V77" t="str">
        <v/>
      </c>
      <c r="W77" t="str">
        <f t="shared" si="14"/>
        <v/>
      </c>
      <c r="X77">
        <v>4.423</v>
      </c>
      <c r="Y77">
        <f t="shared" si="15"/>
        <v>0.48006905210295042</v>
      </c>
    </row>
    <row r="78" spans="1:25" x14ac:dyDescent="0.3">
      <c r="D78" t="str">
        <v>United Kingdom</v>
      </c>
      <c r="E78">
        <v>66.14</v>
      </c>
      <c r="G78" t="str">
        <v>Asia</v>
      </c>
      <c r="H78" t="str">
        <v>Georgia</v>
      </c>
      <c r="I78" s="3">
        <f>IFERROR((
K78*'Best Country'!$E$12+
M78*'Best Country'!$E$15+
O78*'Best Country'!$E$18+
Q78*'Best Country'!$E$9+
S78*'Best Country'!$E$6+
U78*'Best Country'!$E$21+
W78*'Best Country'!$E$24+
Y78*'Best Country'!$E$27
)/SUM('Best Country'!$E$5:$E$28), "")</f>
        <v>0.6208950465737052</v>
      </c>
      <c r="J78">
        <v>0.34756895999999998</v>
      </c>
      <c r="K78">
        <f t="shared" si="8"/>
        <v>0.72583186179586434</v>
      </c>
      <c r="L78">
        <v>0.84399999999999997</v>
      </c>
      <c r="M78">
        <f t="shared" si="9"/>
        <v>0.78082191780821919</v>
      </c>
      <c r="N78">
        <v>74.495999999999995</v>
      </c>
      <c r="O78">
        <f t="shared" si="10"/>
        <v>0.64121111253360619</v>
      </c>
      <c r="P78">
        <v>9287</v>
      </c>
      <c r="Q78">
        <f t="shared" si="11"/>
        <v>3.4408990352117003E-2</v>
      </c>
      <c r="R78">
        <v>23.2</v>
      </c>
      <c r="S78">
        <f t="shared" si="12"/>
        <v>0.8566265060240964</v>
      </c>
      <c r="T78">
        <v>74</v>
      </c>
      <c r="U78">
        <f t="shared" si="13"/>
        <v>0.82952815829528159</v>
      </c>
      <c r="V78">
        <v>56.4</v>
      </c>
      <c r="W78">
        <f t="shared" si="14"/>
        <v>0.64556962025316467</v>
      </c>
      <c r="X78">
        <v>5.4</v>
      </c>
      <c r="Y78">
        <f t="shared" si="15"/>
        <v>0.63339610797237922</v>
      </c>
    </row>
    <row r="79" spans="1:25" x14ac:dyDescent="0.3">
      <c r="D79" t="str">
        <v>United States</v>
      </c>
      <c r="E79">
        <v>64.540000000000006</v>
      </c>
      <c r="G79" t="str">
        <v>Europe</v>
      </c>
      <c r="H79" t="str">
        <v>Germany</v>
      </c>
      <c r="I79" s="3">
        <f>IFERROR((
K79*'Best Country'!$E$12+
M79*'Best Country'!$E$15+
O79*'Best Country'!$E$18+
Q79*'Best Country'!$E$9+
S79*'Best Country'!$E$6+
U79*'Best Country'!$E$21+
W79*'Best Country'!$E$24+
Y79*'Best Country'!$E$27
)/SUM('Best Country'!$E$5:$E$28), "")</f>
        <v>0.68366266803626008</v>
      </c>
      <c r="J79">
        <v>0.32433450000000003</v>
      </c>
      <c r="K79">
        <f t="shared" si="8"/>
        <v>0.78548878760084839</v>
      </c>
      <c r="L79">
        <v>0.95899999999999996</v>
      </c>
      <c r="M79">
        <f t="shared" si="9"/>
        <v>0.97773972602739723</v>
      </c>
      <c r="N79">
        <v>81.378</v>
      </c>
      <c r="O79">
        <f t="shared" si="10"/>
        <v>0.86147740366150294</v>
      </c>
      <c r="P79">
        <v>56435</v>
      </c>
      <c r="Q79">
        <f t="shared" si="11"/>
        <v>0.21549115098629631</v>
      </c>
      <c r="R79">
        <v>47.6</v>
      </c>
      <c r="S79">
        <f t="shared" si="12"/>
        <v>0.5626506024096386</v>
      </c>
      <c r="T79">
        <v>60.4</v>
      </c>
      <c r="U79">
        <f t="shared" si="13"/>
        <v>0.62252663622526627</v>
      </c>
      <c r="V79">
        <v>71.7</v>
      </c>
      <c r="W79">
        <f t="shared" si="14"/>
        <v>0.32278481012658222</v>
      </c>
      <c r="X79">
        <v>6.7530000000000001</v>
      </c>
      <c r="Y79">
        <f t="shared" si="15"/>
        <v>0.84573132454488387</v>
      </c>
    </row>
    <row r="80" spans="1:25" x14ac:dyDescent="0.3">
      <c r="D80" t="str">
        <v>Uruguay</v>
      </c>
      <c r="E80">
        <v>60.18</v>
      </c>
      <c r="G80" t="str">
        <v>Africa</v>
      </c>
      <c r="H80" t="str">
        <v>Ghana</v>
      </c>
      <c r="I80" s="3" t="str">
        <f>IFERROR((
K80*'Best Country'!$E$12+
M80*'Best Country'!$E$15+
O80*'Best Country'!$E$18+
Q80*'Best Country'!$E$9+
S80*'Best Country'!$E$6+
U80*'Best Country'!$E$21+
W80*'Best Country'!$E$24+
Y80*'Best Country'!$E$27
)/SUM('Best Country'!$E$5:$E$28), "")</f>
        <v/>
      </c>
      <c r="J80">
        <v>0.43508595</v>
      </c>
      <c r="K80">
        <f t="shared" si="8"/>
        <v>0.50112276250517562</v>
      </c>
      <c r="L80">
        <v>0.628</v>
      </c>
      <c r="M80">
        <f t="shared" si="9"/>
        <v>0.41095890410958907</v>
      </c>
      <c r="N80">
        <v>65.498000000000005</v>
      </c>
      <c r="O80">
        <f t="shared" si="10"/>
        <v>0.3532198182050954</v>
      </c>
      <c r="P80">
        <v>2519</v>
      </c>
      <c r="Q80">
        <f t="shared" si="11"/>
        <v>8.4150125975542313E-3</v>
      </c>
      <c r="R80">
        <v>22.1</v>
      </c>
      <c r="S80">
        <f t="shared" si="12"/>
        <v>0.86987951807228914</v>
      </c>
      <c r="T80" t="str">
        <v/>
      </c>
      <c r="U80" t="str">
        <f t="shared" si="13"/>
        <v/>
      </c>
      <c r="V80" t="str">
        <v/>
      </c>
      <c r="W80" t="str">
        <f t="shared" si="14"/>
        <v/>
      </c>
      <c r="X80">
        <v>4.34</v>
      </c>
      <c r="Y80">
        <f t="shared" si="15"/>
        <v>0.46704331450094161</v>
      </c>
    </row>
    <row r="81" spans="4:25" x14ac:dyDescent="0.3">
      <c r="D81" t="str">
        <v>Vietnam</v>
      </c>
      <c r="E81">
        <v>60</v>
      </c>
      <c r="G81" t="str">
        <v>Europe</v>
      </c>
      <c r="H81" t="str">
        <v>Gibraltar</v>
      </c>
      <c r="I81" s="3" t="str">
        <f>IFERROR((
K81*'Best Country'!$E$12+
M81*'Best Country'!$E$15+
O81*'Best Country'!$E$18+
Q81*'Best Country'!$E$9+
S81*'Best Country'!$E$6+
U81*'Best Country'!$E$21+
W81*'Best Country'!$E$24+
Y81*'Best Country'!$E$27
)/SUM('Best Country'!$E$5:$E$28), "")</f>
        <v/>
      </c>
      <c r="J81" t="str">
        <v/>
      </c>
      <c r="K81" t="str">
        <f t="shared" si="8"/>
        <v/>
      </c>
      <c r="L81" t="str">
        <v/>
      </c>
      <c r="M81" t="str">
        <f t="shared" si="9"/>
        <v/>
      </c>
      <c r="N81" t="str">
        <v/>
      </c>
      <c r="O81" t="str">
        <f t="shared" si="10"/>
        <v/>
      </c>
      <c r="P81" t="str">
        <v/>
      </c>
      <c r="Q81" t="str">
        <f t="shared" si="11"/>
        <v/>
      </c>
      <c r="R81" t="str">
        <v/>
      </c>
      <c r="S81" t="str">
        <f t="shared" si="12"/>
        <v/>
      </c>
      <c r="T81" t="str">
        <v/>
      </c>
      <c r="U81" t="str">
        <f t="shared" si="13"/>
        <v/>
      </c>
      <c r="V81" t="str">
        <v/>
      </c>
      <c r="W81" t="str">
        <f t="shared" si="14"/>
        <v/>
      </c>
      <c r="X81" t="str">
        <v/>
      </c>
      <c r="Y81" t="str">
        <f t="shared" si="15"/>
        <v/>
      </c>
    </row>
    <row r="82" spans="4:25" x14ac:dyDescent="0.3">
      <c r="G82" t="str">
        <v>Europe</v>
      </c>
      <c r="H82" t="str">
        <v>Greece</v>
      </c>
      <c r="I82" s="3">
        <f>IFERROR((
K82*'Best Country'!$E$12+
M82*'Best Country'!$E$15+
O82*'Best Country'!$E$18+
Q82*'Best Country'!$E$9+
S82*'Best Country'!$E$6+
U82*'Best Country'!$E$21+
W82*'Best Country'!$E$24+
Y82*'Best Country'!$E$27
)/SUM('Best Country'!$E$5:$E$28), "")</f>
        <v>0.64670460293055942</v>
      </c>
      <c r="J82">
        <v>0.33373599999999998</v>
      </c>
      <c r="K82">
        <f t="shared" si="8"/>
        <v>0.76134944509168079</v>
      </c>
      <c r="L82">
        <v>0.90800000000000003</v>
      </c>
      <c r="M82">
        <f t="shared" si="9"/>
        <v>0.89041095890410971</v>
      </c>
      <c r="N82">
        <v>81.856999999999999</v>
      </c>
      <c r="O82">
        <f t="shared" si="10"/>
        <v>0.87680834720266276</v>
      </c>
      <c r="P82">
        <v>26899</v>
      </c>
      <c r="Q82">
        <f t="shared" si="11"/>
        <v>0.10205171142383089</v>
      </c>
      <c r="R82">
        <v>34.4</v>
      </c>
      <c r="S82">
        <f t="shared" si="12"/>
        <v>0.72168674698795177</v>
      </c>
      <c r="T82">
        <v>53.6</v>
      </c>
      <c r="U82">
        <f t="shared" si="13"/>
        <v>0.51902587519025878</v>
      </c>
      <c r="V82">
        <v>58.5</v>
      </c>
      <c r="W82">
        <f t="shared" si="14"/>
        <v>0.60126582278481022</v>
      </c>
      <c r="X82">
        <v>5.7759999999999998</v>
      </c>
      <c r="Y82">
        <f t="shared" si="15"/>
        <v>0.69240426867545513</v>
      </c>
    </row>
    <row r="83" spans="4:25" x14ac:dyDescent="0.3">
      <c r="G83" t="str">
        <v>North America</v>
      </c>
      <c r="H83" t="str">
        <v>Greenland</v>
      </c>
      <c r="I83" s="3" t="str">
        <f>IFERROR((
K83*'Best Country'!$E$12+
M83*'Best Country'!$E$15+
O83*'Best Country'!$E$18+
Q83*'Best Country'!$E$9+
S83*'Best Country'!$E$6+
U83*'Best Country'!$E$21+
W83*'Best Country'!$E$24+
Y83*'Best Country'!$E$27
)/SUM('Best Country'!$E$5:$E$28), "")</f>
        <v/>
      </c>
      <c r="J83" t="str">
        <v/>
      </c>
      <c r="K83" t="str">
        <f t="shared" si="8"/>
        <v/>
      </c>
      <c r="L83" t="str">
        <v/>
      </c>
      <c r="M83" t="str">
        <f t="shared" si="9"/>
        <v/>
      </c>
      <c r="N83" t="str">
        <v/>
      </c>
      <c r="O83" t="str">
        <f t="shared" si="10"/>
        <v/>
      </c>
      <c r="P83">
        <v>54547</v>
      </c>
      <c r="Q83">
        <f t="shared" si="11"/>
        <v>0.20823987586800222</v>
      </c>
      <c r="R83" t="str">
        <v/>
      </c>
      <c r="S83" t="str">
        <f t="shared" si="12"/>
        <v/>
      </c>
      <c r="T83" t="str">
        <v/>
      </c>
      <c r="U83" t="str">
        <f t="shared" si="13"/>
        <v/>
      </c>
      <c r="V83" t="str">
        <v/>
      </c>
      <c r="W83" t="str">
        <f t="shared" si="14"/>
        <v/>
      </c>
      <c r="X83" t="str">
        <v/>
      </c>
      <c r="Y83" t="str">
        <f t="shared" si="15"/>
        <v/>
      </c>
    </row>
    <row r="84" spans="4:25" x14ac:dyDescent="0.3">
      <c r="G84" t="str">
        <v>North America</v>
      </c>
      <c r="H84" t="str">
        <v>Grenada</v>
      </c>
      <c r="I84" s="3" t="str">
        <f>IFERROR((
K84*'Best Country'!$E$12+
M84*'Best Country'!$E$15+
O84*'Best Country'!$E$18+
Q84*'Best Country'!$E$9+
S84*'Best Country'!$E$6+
U84*'Best Country'!$E$21+
W84*'Best Country'!$E$24+
Y84*'Best Country'!$E$27
)/SUM('Best Country'!$E$5:$E$28), "")</f>
        <v/>
      </c>
      <c r="J84">
        <v>0.4381641</v>
      </c>
      <c r="K84">
        <f t="shared" si="8"/>
        <v>0.49321928783149638</v>
      </c>
      <c r="L84">
        <v>0.79100000000000004</v>
      </c>
      <c r="M84">
        <f t="shared" si="9"/>
        <v>0.69006849315068497</v>
      </c>
      <c r="N84">
        <v>75.204999999999998</v>
      </c>
      <c r="O84">
        <f t="shared" si="10"/>
        <v>0.66390346946613732</v>
      </c>
      <c r="P84">
        <v>12480</v>
      </c>
      <c r="Q84">
        <f t="shared" si="11"/>
        <v>4.6672402138511648E-2</v>
      </c>
      <c r="R84" t="str">
        <v/>
      </c>
      <c r="S84" t="str">
        <f t="shared" si="12"/>
        <v/>
      </c>
      <c r="T84" t="str">
        <v/>
      </c>
      <c r="U84" t="str">
        <f t="shared" si="13"/>
        <v/>
      </c>
      <c r="V84" t="str">
        <v/>
      </c>
      <c r="W84" t="str">
        <f t="shared" si="14"/>
        <v/>
      </c>
      <c r="X84" t="str">
        <v/>
      </c>
      <c r="Y84" t="str">
        <f t="shared" si="15"/>
        <v/>
      </c>
    </row>
    <row r="85" spans="4:25" x14ac:dyDescent="0.3">
      <c r="G85" t="str">
        <v>North America</v>
      </c>
      <c r="H85" t="str">
        <v>Guadeloupe</v>
      </c>
      <c r="I85" s="3" t="str">
        <f>IFERROR((
K85*'Best Country'!$E$12+
M85*'Best Country'!$E$15+
O85*'Best Country'!$E$18+
Q85*'Best Country'!$E$9+
S85*'Best Country'!$E$6+
U85*'Best Country'!$E$21+
W85*'Best Country'!$E$24+
Y85*'Best Country'!$E$27
)/SUM('Best Country'!$E$5:$E$28), "")</f>
        <v/>
      </c>
      <c r="J85" t="str">
        <v/>
      </c>
      <c r="K85" t="str">
        <f t="shared" si="8"/>
        <v/>
      </c>
      <c r="L85" t="str">
        <v/>
      </c>
      <c r="M85" t="str">
        <f t="shared" si="9"/>
        <v/>
      </c>
      <c r="N85" t="str">
        <v/>
      </c>
      <c r="O85" t="str">
        <f t="shared" si="10"/>
        <v/>
      </c>
      <c r="P85" t="str">
        <v/>
      </c>
      <c r="Q85" t="str">
        <f t="shared" si="11"/>
        <v/>
      </c>
      <c r="R85" t="str">
        <v/>
      </c>
      <c r="S85" t="str">
        <f t="shared" si="12"/>
        <v/>
      </c>
      <c r="T85" t="str">
        <v/>
      </c>
      <c r="U85" t="str">
        <f t="shared" si="13"/>
        <v/>
      </c>
      <c r="V85" t="str">
        <v/>
      </c>
      <c r="W85" t="str">
        <f t="shared" si="14"/>
        <v/>
      </c>
      <c r="X85" t="str">
        <v/>
      </c>
      <c r="Y85" t="str">
        <f t="shared" si="15"/>
        <v/>
      </c>
    </row>
    <row r="86" spans="4:25" x14ac:dyDescent="0.3">
      <c r="G86" t="str">
        <v>Oceania</v>
      </c>
      <c r="H86" t="str">
        <v>Guam</v>
      </c>
      <c r="I86" s="3" t="str">
        <f>IFERROR((
K86*'Best Country'!$E$12+
M86*'Best Country'!$E$15+
O86*'Best Country'!$E$18+
Q86*'Best Country'!$E$9+
S86*'Best Country'!$E$6+
U86*'Best Country'!$E$21+
W86*'Best Country'!$E$24+
Y86*'Best Country'!$E$27
)/SUM('Best Country'!$E$5:$E$28), "")</f>
        <v/>
      </c>
      <c r="J86" t="str">
        <v/>
      </c>
      <c r="K86" t="str">
        <f t="shared" si="8"/>
        <v/>
      </c>
      <c r="L86" t="str">
        <v/>
      </c>
      <c r="M86" t="str">
        <f t="shared" si="9"/>
        <v/>
      </c>
      <c r="N86" t="str">
        <v/>
      </c>
      <c r="O86" t="str">
        <f t="shared" si="10"/>
        <v/>
      </c>
      <c r="P86" t="str">
        <v/>
      </c>
      <c r="Q86" t="str">
        <f t="shared" si="11"/>
        <v/>
      </c>
      <c r="R86" t="str">
        <v/>
      </c>
      <c r="S86" t="str">
        <f t="shared" si="12"/>
        <v/>
      </c>
      <c r="T86" t="str">
        <v/>
      </c>
      <c r="U86" t="str">
        <f t="shared" si="13"/>
        <v/>
      </c>
      <c r="V86" t="str">
        <v/>
      </c>
      <c r="W86" t="str">
        <f t="shared" si="14"/>
        <v/>
      </c>
      <c r="X86" t="str">
        <v/>
      </c>
      <c r="Y86" t="str">
        <f t="shared" si="15"/>
        <v/>
      </c>
    </row>
    <row r="87" spans="4:25" x14ac:dyDescent="0.3">
      <c r="G87" t="str">
        <v>North America</v>
      </c>
      <c r="H87" t="str">
        <v>Guatemala</v>
      </c>
      <c r="I87" s="3" t="str">
        <f>IFERROR((
K87*'Best Country'!$E$12+
M87*'Best Country'!$E$15+
O87*'Best Country'!$E$18+
Q87*'Best Country'!$E$9+
S87*'Best Country'!$E$6+
U87*'Best Country'!$E$21+
W87*'Best Country'!$E$24+
Y87*'Best Country'!$E$27
)/SUM('Best Country'!$E$5:$E$28), "")</f>
        <v/>
      </c>
      <c r="J87">
        <v>0.45212682999999998</v>
      </c>
      <c r="K87">
        <f t="shared" si="8"/>
        <v>0.45736850637821436</v>
      </c>
      <c r="L87">
        <v>0.66200000000000003</v>
      </c>
      <c r="M87">
        <f t="shared" si="9"/>
        <v>0.46917808219178087</v>
      </c>
      <c r="N87">
        <v>72.602000000000004</v>
      </c>
      <c r="O87">
        <f t="shared" si="10"/>
        <v>0.58059147356292407</v>
      </c>
      <c r="P87">
        <v>6484</v>
      </c>
      <c r="Q87">
        <f t="shared" si="11"/>
        <v>2.3643458489522522E-2</v>
      </c>
      <c r="R87">
        <v>28</v>
      </c>
      <c r="S87">
        <f t="shared" si="12"/>
        <v>0.79879518072289157</v>
      </c>
      <c r="T87" t="str">
        <v/>
      </c>
      <c r="U87" t="str">
        <f t="shared" si="13"/>
        <v/>
      </c>
      <c r="V87" t="str">
        <v/>
      </c>
      <c r="W87" t="str">
        <f t="shared" si="14"/>
        <v/>
      </c>
      <c r="X87">
        <v>6.3620000000000001</v>
      </c>
      <c r="Y87">
        <f t="shared" si="15"/>
        <v>0.78436911487758953</v>
      </c>
    </row>
    <row r="88" spans="4:25" x14ac:dyDescent="0.3">
      <c r="G88" t="str">
        <v>Europe</v>
      </c>
      <c r="H88" t="str">
        <v>Guernsey</v>
      </c>
      <c r="I88" s="3" t="str">
        <f>IFERROR((
K88*'Best Country'!$E$12+
M88*'Best Country'!$E$15+
O88*'Best Country'!$E$18+
Q88*'Best Country'!$E$9+
S88*'Best Country'!$E$6+
U88*'Best Country'!$E$21+
W88*'Best Country'!$E$24+
Y88*'Best Country'!$E$27
)/SUM('Best Country'!$E$5:$E$28), "")</f>
        <v/>
      </c>
      <c r="J88" t="str">
        <v/>
      </c>
      <c r="K88" t="str">
        <f t="shared" si="8"/>
        <v/>
      </c>
      <c r="L88" t="str">
        <v/>
      </c>
      <c r="M88" t="str">
        <f t="shared" si="9"/>
        <v/>
      </c>
      <c r="N88" t="str">
        <v/>
      </c>
      <c r="O88" t="str">
        <f t="shared" si="10"/>
        <v/>
      </c>
      <c r="P88" t="str">
        <v/>
      </c>
      <c r="Q88" t="str">
        <f t="shared" si="11"/>
        <v/>
      </c>
      <c r="R88">
        <v>62.5</v>
      </c>
      <c r="S88">
        <f t="shared" si="12"/>
        <v>0.38313253012048187</v>
      </c>
      <c r="T88" t="str">
        <v/>
      </c>
      <c r="U88" t="str">
        <f t="shared" si="13"/>
        <v/>
      </c>
      <c r="V88" t="str">
        <v/>
      </c>
      <c r="W88" t="str">
        <f t="shared" si="14"/>
        <v/>
      </c>
      <c r="X88" t="str">
        <v/>
      </c>
      <c r="Y88" t="str">
        <f t="shared" si="15"/>
        <v/>
      </c>
    </row>
    <row r="89" spans="4:25" x14ac:dyDescent="0.3">
      <c r="G89" t="str">
        <v>Africa</v>
      </c>
      <c r="H89" t="str">
        <v>Guinea</v>
      </c>
      <c r="I89" s="3" t="str">
        <f>IFERROR((
K89*'Best Country'!$E$12+
M89*'Best Country'!$E$15+
O89*'Best Country'!$E$18+
Q89*'Best Country'!$E$9+
S89*'Best Country'!$E$6+
U89*'Best Country'!$E$21+
W89*'Best Country'!$E$24+
Y89*'Best Country'!$E$27
)/SUM('Best Country'!$E$5:$E$28), "")</f>
        <v/>
      </c>
      <c r="J89">
        <v>0.29591953999999998</v>
      </c>
      <c r="K89">
        <f t="shared" si="8"/>
        <v>0.85844719336847086</v>
      </c>
      <c r="L89">
        <v>0.5</v>
      </c>
      <c r="M89">
        <f t="shared" si="9"/>
        <v>0.19178082191780821</v>
      </c>
      <c r="N89">
        <v>60.74</v>
      </c>
      <c r="O89">
        <f t="shared" si="10"/>
        <v>0.2009345794392523</v>
      </c>
      <c r="P89">
        <v>1993</v>
      </c>
      <c r="Q89">
        <f t="shared" si="11"/>
        <v>6.3947950593006824E-3</v>
      </c>
      <c r="R89" t="str">
        <v/>
      </c>
      <c r="S89" t="str">
        <f t="shared" si="12"/>
        <v/>
      </c>
      <c r="T89" t="str">
        <v/>
      </c>
      <c r="U89" t="str">
        <f t="shared" si="13"/>
        <v/>
      </c>
      <c r="V89" t="str">
        <v/>
      </c>
      <c r="W89" t="str">
        <f t="shared" si="14"/>
        <v/>
      </c>
      <c r="X89">
        <v>4.9290000000000003</v>
      </c>
      <c r="Y89">
        <f t="shared" si="15"/>
        <v>0.55947897049591977</v>
      </c>
    </row>
    <row r="90" spans="4:25" x14ac:dyDescent="0.3">
      <c r="G90" t="str">
        <v>Africa</v>
      </c>
      <c r="H90" t="str">
        <v>Guinea-Bissau</v>
      </c>
      <c r="I90" s="3" t="str">
        <f>IFERROR((
K90*'Best Country'!$E$12+
M90*'Best Country'!$E$15+
O90*'Best Country'!$E$18+
Q90*'Best Country'!$E$9+
S90*'Best Country'!$E$6+
U90*'Best Country'!$E$21+
W90*'Best Country'!$E$24+
Y90*'Best Country'!$E$27
)/SUM('Best Country'!$E$5:$E$28), "")</f>
        <v/>
      </c>
      <c r="J90">
        <v>0.33435068000000001</v>
      </c>
      <c r="K90">
        <f t="shared" si="8"/>
        <v>0.7597711893821093</v>
      </c>
      <c r="L90">
        <v>0.51400000000000001</v>
      </c>
      <c r="M90">
        <f t="shared" si="9"/>
        <v>0.21575342465753425</v>
      </c>
      <c r="N90">
        <v>64.084999999999994</v>
      </c>
      <c r="O90">
        <f t="shared" si="10"/>
        <v>0.30799513506593235</v>
      </c>
      <c r="P90">
        <v>1011</v>
      </c>
      <c r="Q90">
        <f t="shared" si="11"/>
        <v>2.6232102255269465E-3</v>
      </c>
      <c r="R90" t="str">
        <v/>
      </c>
      <c r="S90" t="str">
        <f t="shared" si="12"/>
        <v/>
      </c>
      <c r="T90" t="str">
        <v/>
      </c>
      <c r="U90" t="str">
        <f t="shared" si="13"/>
        <v/>
      </c>
      <c r="V90" t="str">
        <v/>
      </c>
      <c r="W90" t="str">
        <f t="shared" si="14"/>
        <v/>
      </c>
      <c r="X90" t="str">
        <v/>
      </c>
      <c r="Y90" t="str">
        <f t="shared" si="15"/>
        <v/>
      </c>
    </row>
    <row r="91" spans="4:25" x14ac:dyDescent="0.3">
      <c r="G91" t="str">
        <v>South America</v>
      </c>
      <c r="H91" t="str">
        <v>Guyana</v>
      </c>
      <c r="I91" s="3" t="str">
        <f>IFERROR((
K91*'Best Country'!$E$12+
M91*'Best Country'!$E$15+
O91*'Best Country'!$E$18+
Q91*'Best Country'!$E$9+
S91*'Best Country'!$E$6+
U91*'Best Country'!$E$21+
W91*'Best Country'!$E$24+
Y91*'Best Country'!$E$27
)/SUM('Best Country'!$E$5:$E$28), "")</f>
        <v/>
      </c>
      <c r="J91" t="str">
        <v/>
      </c>
      <c r="K91" t="str">
        <f t="shared" si="8"/>
        <v/>
      </c>
      <c r="L91">
        <v>0.77600000000000002</v>
      </c>
      <c r="M91">
        <f t="shared" si="9"/>
        <v>0.66438356164383572</v>
      </c>
      <c r="N91">
        <v>70.180000000000007</v>
      </c>
      <c r="O91">
        <f t="shared" si="10"/>
        <v>0.50307258993726811</v>
      </c>
      <c r="P91">
        <v>30888</v>
      </c>
      <c r="Q91">
        <f t="shared" si="11"/>
        <v>0.11737233454187919</v>
      </c>
      <c r="R91">
        <v>35.1</v>
      </c>
      <c r="S91">
        <f t="shared" si="12"/>
        <v>0.7132530120481928</v>
      </c>
      <c r="T91" t="str">
        <v/>
      </c>
      <c r="U91" t="str">
        <f t="shared" si="13"/>
        <v/>
      </c>
      <c r="V91" t="str">
        <v/>
      </c>
      <c r="W91" t="str">
        <f t="shared" si="14"/>
        <v/>
      </c>
      <c r="X91" t="str">
        <v/>
      </c>
      <c r="Y91" t="str">
        <f t="shared" si="15"/>
        <v/>
      </c>
    </row>
    <row r="92" spans="4:25" x14ac:dyDescent="0.3">
      <c r="G92" t="str">
        <v>North America</v>
      </c>
      <c r="H92" t="str">
        <v>Haiti</v>
      </c>
      <c r="I92" s="3" t="str">
        <f>IFERROR((
K92*'Best Country'!$E$12+
M92*'Best Country'!$E$15+
O92*'Best Country'!$E$18+
Q92*'Best Country'!$E$9+
S92*'Best Country'!$E$6+
U92*'Best Country'!$E$21+
W92*'Best Country'!$E$24+
Y92*'Best Country'!$E$27
)/SUM('Best Country'!$E$5:$E$28), "")</f>
        <v/>
      </c>
      <c r="J92">
        <v>0.60450804000000002</v>
      </c>
      <c r="K92">
        <f t="shared" si="8"/>
        <v>6.6113683195592299E-2</v>
      </c>
      <c r="L92">
        <v>0.55400000000000005</v>
      </c>
      <c r="M92">
        <f t="shared" si="9"/>
        <v>0.28424657534246583</v>
      </c>
      <c r="N92">
        <v>64.936000000000007</v>
      </c>
      <c r="O92">
        <f t="shared" si="10"/>
        <v>0.33523236461400602</v>
      </c>
      <c r="P92">
        <v>2818</v>
      </c>
      <c r="Q92">
        <f t="shared" si="11"/>
        <v>9.5633872058010199E-3</v>
      </c>
      <c r="R92" t="str">
        <v/>
      </c>
      <c r="S92" t="str">
        <f t="shared" si="12"/>
        <v/>
      </c>
      <c r="T92" t="str">
        <v/>
      </c>
      <c r="U92" t="str">
        <f t="shared" si="13"/>
        <v/>
      </c>
      <c r="V92" t="str">
        <v/>
      </c>
      <c r="W92" t="str">
        <f t="shared" si="14"/>
        <v/>
      </c>
      <c r="X92" t="str">
        <v/>
      </c>
      <c r="Y92" t="str">
        <f t="shared" si="15"/>
        <v/>
      </c>
    </row>
    <row r="93" spans="4:25" x14ac:dyDescent="0.3">
      <c r="G93" t="str">
        <v>North America</v>
      </c>
      <c r="H93" t="str">
        <v>Honduras</v>
      </c>
      <c r="I93" s="3" t="str">
        <f>IFERROR((
K93*'Best Country'!$E$12+
M93*'Best Country'!$E$15+
O93*'Best Country'!$E$18+
Q93*'Best Country'!$E$9+
S93*'Best Country'!$E$6+
U93*'Best Country'!$E$21+
W93*'Best Country'!$E$24+
Y93*'Best Country'!$E$27
)/SUM('Best Country'!$E$5:$E$28), "")</f>
        <v/>
      </c>
      <c r="J93">
        <v>0.46826827999999998</v>
      </c>
      <c r="K93">
        <f t="shared" si="8"/>
        <v>0.41592363160880452</v>
      </c>
      <c r="L93">
        <v>0.64500000000000002</v>
      </c>
      <c r="M93">
        <f t="shared" si="9"/>
        <v>0.44006849315068497</v>
      </c>
      <c r="N93">
        <v>72.884</v>
      </c>
      <c r="O93">
        <f t="shared" si="10"/>
        <v>0.58961720650364857</v>
      </c>
      <c r="P93">
        <v>3468</v>
      </c>
      <c r="Q93">
        <f t="shared" si="11"/>
        <v>1.2059853745467954E-2</v>
      </c>
      <c r="R93">
        <v>24.1</v>
      </c>
      <c r="S93">
        <f t="shared" si="12"/>
        <v>0.8457831325301205</v>
      </c>
      <c r="T93" t="str">
        <v/>
      </c>
      <c r="U93" t="str">
        <f t="shared" si="13"/>
        <v/>
      </c>
      <c r="V93" t="str">
        <v/>
      </c>
      <c r="W93" t="str">
        <f t="shared" si="14"/>
        <v/>
      </c>
      <c r="X93">
        <v>5.9640000000000004</v>
      </c>
      <c r="Y93">
        <f t="shared" si="15"/>
        <v>0.72190834902699319</v>
      </c>
    </row>
    <row r="94" spans="4:25" x14ac:dyDescent="0.3">
      <c r="G94" t="str">
        <v>Asia</v>
      </c>
      <c r="H94" t="str">
        <v>Hong Kong</v>
      </c>
      <c r="I94" s="3" t="str">
        <f>IFERROR((
K94*'Best Country'!$E$12+
M94*'Best Country'!$E$15+
O94*'Best Country'!$E$18+
Q94*'Best Country'!$E$9+
S94*'Best Country'!$E$6+
U94*'Best Country'!$E$21+
W94*'Best Country'!$E$24+
Y94*'Best Country'!$E$27
)/SUM('Best Country'!$E$5:$E$28), "")</f>
        <v/>
      </c>
      <c r="J94" t="str">
        <v/>
      </c>
      <c r="K94" t="str">
        <f t="shared" si="8"/>
        <v/>
      </c>
      <c r="L94">
        <v>0.95499999999999996</v>
      </c>
      <c r="M94">
        <f t="shared" si="9"/>
        <v>0.97089041095890405</v>
      </c>
      <c r="N94">
        <v>85.510999999999996</v>
      </c>
      <c r="O94">
        <f t="shared" si="10"/>
        <v>0.99375880168992425</v>
      </c>
      <c r="P94">
        <v>57328</v>
      </c>
      <c r="Q94">
        <f t="shared" si="11"/>
        <v>0.21892091194002336</v>
      </c>
      <c r="R94">
        <v>65.599999999999994</v>
      </c>
      <c r="S94">
        <f t="shared" si="12"/>
        <v>0.3457831325301205</v>
      </c>
      <c r="T94">
        <v>78.5</v>
      </c>
      <c r="U94">
        <f t="shared" si="13"/>
        <v>0.89802130898021304</v>
      </c>
      <c r="V94">
        <v>66.5</v>
      </c>
      <c r="W94">
        <f t="shared" si="14"/>
        <v>0.4324894514767933</v>
      </c>
      <c r="X94">
        <v>5.4909999999999997</v>
      </c>
      <c r="Y94">
        <f t="shared" si="15"/>
        <v>0.64767733835530439</v>
      </c>
    </row>
    <row r="95" spans="4:25" x14ac:dyDescent="0.3">
      <c r="G95" t="str">
        <v>Europe</v>
      </c>
      <c r="H95" t="str">
        <v>Hungary</v>
      </c>
      <c r="I95" s="3">
        <f>IFERROR((
K95*'Best Country'!$E$12+
M95*'Best Country'!$E$15+
O95*'Best Country'!$E$18+
Q95*'Best Country'!$E$9+
S95*'Best Country'!$E$6+
U95*'Best Country'!$E$21+
W95*'Best Country'!$E$24+
Y95*'Best Country'!$E$27
)/SUM('Best Country'!$E$5:$E$28), "")</f>
        <v>0.65918642212741918</v>
      </c>
      <c r="J95">
        <v>0.30222823999999998</v>
      </c>
      <c r="K95">
        <f t="shared" si="8"/>
        <v>0.8422489409526237</v>
      </c>
      <c r="L95">
        <v>0.87</v>
      </c>
      <c r="M95">
        <f t="shared" si="9"/>
        <v>0.82534246575342474</v>
      </c>
      <c r="N95">
        <v>77.024000000000001</v>
      </c>
      <c r="O95">
        <f t="shared" si="10"/>
        <v>0.72212264754832922</v>
      </c>
      <c r="P95">
        <v>24612</v>
      </c>
      <c r="Q95">
        <f t="shared" si="11"/>
        <v>9.3267989921956618E-2</v>
      </c>
      <c r="R95">
        <v>29.8</v>
      </c>
      <c r="S95">
        <f t="shared" si="12"/>
        <v>0.77710843373493976</v>
      </c>
      <c r="T95">
        <v>66.3</v>
      </c>
      <c r="U95">
        <f t="shared" si="13"/>
        <v>0.71232876712328763</v>
      </c>
      <c r="V95">
        <v>54.1</v>
      </c>
      <c r="W95">
        <f t="shared" si="14"/>
        <v>0.69409282700421948</v>
      </c>
      <c r="X95">
        <v>5.915</v>
      </c>
      <c r="Y95">
        <f t="shared" si="15"/>
        <v>0.71421845574387954</v>
      </c>
    </row>
    <row r="96" spans="4:25" x14ac:dyDescent="0.3">
      <c r="G96" t="str">
        <v>Europe</v>
      </c>
      <c r="H96" t="str">
        <v>Iceland</v>
      </c>
      <c r="I96" s="3">
        <f>IFERROR((
K96*'Best Country'!$E$12+
M96*'Best Country'!$E$15+
O96*'Best Country'!$E$18+
Q96*'Best Country'!$E$9+
S96*'Best Country'!$E$6+
U96*'Best Country'!$E$21+
W96*'Best Country'!$E$24+
Y96*'Best Country'!$E$27
)/SUM('Best Country'!$E$5:$E$28), "")</f>
        <v>0.73805817392522766</v>
      </c>
      <c r="J96">
        <v>0.2656501</v>
      </c>
      <c r="K96">
        <f t="shared" si="8"/>
        <v>0.9361671720655621</v>
      </c>
      <c r="L96">
        <v>0.97199999999999998</v>
      </c>
      <c r="M96">
        <f t="shared" si="9"/>
        <v>1</v>
      </c>
      <c r="N96">
        <v>82.691000000000003</v>
      </c>
      <c r="O96">
        <f t="shared" si="10"/>
        <v>0.9035014722826783</v>
      </c>
      <c r="P96">
        <v>88657</v>
      </c>
      <c r="Q96">
        <f t="shared" si="11"/>
        <v>0.3392467584342162</v>
      </c>
      <c r="R96">
        <v>75.2</v>
      </c>
      <c r="S96">
        <f t="shared" si="12"/>
        <v>0.23012048192771073</v>
      </c>
      <c r="T96">
        <v>74.2</v>
      </c>
      <c r="U96">
        <f t="shared" si="13"/>
        <v>0.83257229832572299</v>
      </c>
      <c r="V96">
        <v>67.900000000000006</v>
      </c>
      <c r="W96">
        <f t="shared" si="14"/>
        <v>0.40295358649789015</v>
      </c>
      <c r="X96">
        <v>7.5149999999999997</v>
      </c>
      <c r="Y96">
        <f t="shared" si="15"/>
        <v>0.96531701192718145</v>
      </c>
    </row>
    <row r="97" spans="7:25" x14ac:dyDescent="0.3">
      <c r="G97" t="str">
        <v>Asia</v>
      </c>
      <c r="H97" t="str">
        <v>India</v>
      </c>
      <c r="I97" s="3">
        <f>IFERROR((
K97*'Best Country'!$E$12+
M97*'Best Country'!$E$15+
O97*'Best Country'!$E$18+
Q97*'Best Country'!$E$9+
S97*'Best Country'!$E$6+
U97*'Best Country'!$E$21+
W97*'Best Country'!$E$24+
Y97*'Best Country'!$E$27
)/SUM('Best Country'!$E$5:$E$28), "")</f>
        <v>0.53287705474449643</v>
      </c>
      <c r="J97">
        <v>0.25514996000000001</v>
      </c>
      <c r="K97">
        <f t="shared" si="8"/>
        <v>0.96312738861124225</v>
      </c>
      <c r="L97">
        <v>0.68500000000000005</v>
      </c>
      <c r="M97">
        <f t="shared" si="9"/>
        <v>0.50856164383561653</v>
      </c>
      <c r="N97">
        <v>72.003</v>
      </c>
      <c r="O97">
        <f t="shared" si="10"/>
        <v>0.56141979260017916</v>
      </c>
      <c r="P97">
        <v>2860</v>
      </c>
      <c r="Q97">
        <f t="shared" si="11"/>
        <v>9.7246973514410369E-3</v>
      </c>
      <c r="R97">
        <v>12.8</v>
      </c>
      <c r="S97">
        <f t="shared" si="12"/>
        <v>0.98192771084337349</v>
      </c>
      <c r="T97">
        <v>55.8</v>
      </c>
      <c r="U97">
        <f t="shared" si="13"/>
        <v>0.55251141552511407</v>
      </c>
      <c r="V97">
        <v>65.5</v>
      </c>
      <c r="W97">
        <f t="shared" si="14"/>
        <v>0.45358649789029537</v>
      </c>
      <c r="X97">
        <v>4.3890000000000002</v>
      </c>
      <c r="Y97">
        <f t="shared" si="15"/>
        <v>0.47473320778405531</v>
      </c>
    </row>
    <row r="98" spans="7:25" x14ac:dyDescent="0.3">
      <c r="G98" t="str">
        <v>Asia</v>
      </c>
      <c r="H98" t="str">
        <v>Indonesia</v>
      </c>
      <c r="I98" s="3">
        <f>IFERROR((
K98*'Best Country'!$E$12+
M98*'Best Country'!$E$15+
O98*'Best Country'!$E$18+
Q98*'Best Country'!$E$9+
S98*'Best Country'!$E$6+
U98*'Best Country'!$E$21+
W98*'Best Country'!$E$24+
Y98*'Best Country'!$E$27
)/SUM('Best Country'!$E$5:$E$28), "")</f>
        <v>0.55259852628087014</v>
      </c>
      <c r="J98">
        <v>0.34894395</v>
      </c>
      <c r="K98">
        <f t="shared" si="8"/>
        <v>0.7223014299970365</v>
      </c>
      <c r="L98">
        <v>0.72799999999999998</v>
      </c>
      <c r="M98">
        <f t="shared" si="9"/>
        <v>0.5821917808219178</v>
      </c>
      <c r="N98">
        <v>71.146000000000001</v>
      </c>
      <c r="O98">
        <f t="shared" si="10"/>
        <v>0.53399052618102671</v>
      </c>
      <c r="P98">
        <v>5004</v>
      </c>
      <c r="Q98">
        <f t="shared" si="11"/>
        <v>1.7959196214588583E-2</v>
      </c>
      <c r="R98">
        <v>17.600000000000001</v>
      </c>
      <c r="S98">
        <f t="shared" si="12"/>
        <v>0.92409638554216866</v>
      </c>
      <c r="T98">
        <v>53.9</v>
      </c>
      <c r="U98">
        <f t="shared" si="13"/>
        <v>0.52359208523592082</v>
      </c>
      <c r="V98">
        <v>61.2</v>
      </c>
      <c r="W98">
        <f t="shared" si="14"/>
        <v>0.54430379746835444</v>
      </c>
      <c r="X98">
        <v>5.617</v>
      </c>
      <c r="Y98">
        <f t="shared" si="15"/>
        <v>0.66745134965473951</v>
      </c>
    </row>
    <row r="99" spans="7:25" x14ac:dyDescent="0.3">
      <c r="G99" t="str">
        <v>Asia</v>
      </c>
      <c r="H99" t="str">
        <v>Iran</v>
      </c>
      <c r="I99" s="3">
        <f>IFERROR((
K99*'Best Country'!$E$12+
M99*'Best Country'!$E$15+
O99*'Best Country'!$E$18+
Q99*'Best Country'!$E$9+
S99*'Best Country'!$E$6+
U99*'Best Country'!$E$21+
W99*'Best Country'!$E$24+
Y99*'Best Country'!$E$27
)/SUM('Best Country'!$E$5:$E$28), "")</f>
        <v>0.58446641055678872</v>
      </c>
      <c r="J99">
        <v>0.35884795000000003</v>
      </c>
      <c r="K99">
        <f t="shared" si="8"/>
        <v>0.69687186575613891</v>
      </c>
      <c r="L99">
        <v>0.79900000000000004</v>
      </c>
      <c r="M99">
        <f t="shared" si="9"/>
        <v>0.70376712328767133</v>
      </c>
      <c r="N99">
        <v>77.653999999999996</v>
      </c>
      <c r="O99">
        <f t="shared" si="10"/>
        <v>0.74228651901164999</v>
      </c>
      <c r="P99">
        <v>3690</v>
      </c>
      <c r="Q99">
        <f t="shared" si="11"/>
        <v>1.2912493086708044E-2</v>
      </c>
      <c r="R99">
        <v>16.2</v>
      </c>
      <c r="S99">
        <f t="shared" si="12"/>
        <v>0.94096385542168681</v>
      </c>
      <c r="T99">
        <v>49.5</v>
      </c>
      <c r="U99">
        <f t="shared" si="13"/>
        <v>0.45662100456621002</v>
      </c>
      <c r="V99">
        <v>52.7</v>
      </c>
      <c r="W99">
        <f t="shared" si="14"/>
        <v>0.7236286919831223</v>
      </c>
      <c r="X99">
        <v>5.093</v>
      </c>
      <c r="Y99">
        <f t="shared" si="15"/>
        <v>0.58521657250470815</v>
      </c>
    </row>
    <row r="100" spans="7:25" x14ac:dyDescent="0.3">
      <c r="G100" t="str">
        <v>Asia</v>
      </c>
      <c r="H100" t="str">
        <v>Iraq</v>
      </c>
      <c r="I100" s="3" t="str">
        <f>IFERROR((
K100*'Best Country'!$E$12+
M100*'Best Country'!$E$15+
O100*'Best Country'!$E$18+
Q100*'Best Country'!$E$9+
S100*'Best Country'!$E$6+
U100*'Best Country'!$E$21+
W100*'Best Country'!$E$24+
Y100*'Best Country'!$E$27
)/SUM('Best Country'!$E$5:$E$28), "")</f>
        <v/>
      </c>
      <c r="J100">
        <v>0.29774040000000002</v>
      </c>
      <c r="K100">
        <f t="shared" si="8"/>
        <v>0.8537719433337696</v>
      </c>
      <c r="L100">
        <v>0.69499999999999995</v>
      </c>
      <c r="M100">
        <f t="shared" si="9"/>
        <v>0.52568493150684925</v>
      </c>
      <c r="N100">
        <v>72.323999999999998</v>
      </c>
      <c r="O100">
        <f t="shared" si="10"/>
        <v>0.57169376520291881</v>
      </c>
      <c r="P100">
        <v>5487</v>
      </c>
      <c r="Q100">
        <f t="shared" si="11"/>
        <v>1.9814262889448781E-2</v>
      </c>
      <c r="R100">
        <v>18.3</v>
      </c>
      <c r="S100">
        <f t="shared" si="12"/>
        <v>0.9156626506024097</v>
      </c>
      <c r="T100" t="str">
        <v/>
      </c>
      <c r="U100" t="str">
        <f t="shared" si="13"/>
        <v/>
      </c>
      <c r="V100" t="str">
        <v/>
      </c>
      <c r="W100" t="str">
        <f t="shared" si="14"/>
        <v/>
      </c>
      <c r="X100">
        <v>4.976</v>
      </c>
      <c r="Y100">
        <f t="shared" si="15"/>
        <v>0.56685499058380417</v>
      </c>
    </row>
    <row r="101" spans="7:25" x14ac:dyDescent="0.3">
      <c r="G101" t="str">
        <v>Europe</v>
      </c>
      <c r="H101" t="str">
        <v>Ireland</v>
      </c>
      <c r="I101" s="3">
        <f>IFERROR((
K101*'Best Country'!$E$12+
M101*'Best Country'!$E$15+
O101*'Best Country'!$E$18+
Q101*'Best Country'!$E$9+
S101*'Best Country'!$E$6+
U101*'Best Country'!$E$21+
W101*'Best Country'!$E$24+
Y101*'Best Country'!$E$27
)/SUM('Best Country'!$E$5:$E$28), "")</f>
        <v>0.73201930977949159</v>
      </c>
      <c r="J101">
        <v>0.29912030000000001</v>
      </c>
      <c r="K101">
        <f t="shared" si="8"/>
        <v>0.85022890459224953</v>
      </c>
      <c r="L101">
        <v>0.94899999999999995</v>
      </c>
      <c r="M101">
        <f t="shared" si="9"/>
        <v>0.96061643835616439</v>
      </c>
      <c r="N101">
        <v>82.412000000000006</v>
      </c>
      <c r="O101">
        <f t="shared" si="10"/>
        <v>0.89457175777749343</v>
      </c>
      <c r="P101">
        <v>112818</v>
      </c>
      <c r="Q101">
        <f t="shared" si="11"/>
        <v>0.43204234007251274</v>
      </c>
      <c r="R101">
        <v>57</v>
      </c>
      <c r="S101">
        <f t="shared" si="12"/>
        <v>0.44939759036144578</v>
      </c>
      <c r="T101">
        <v>51.4</v>
      </c>
      <c r="U101">
        <f t="shared" si="13"/>
        <v>0.48554033485540332</v>
      </c>
      <c r="V101">
        <v>51.5</v>
      </c>
      <c r="W101">
        <f t="shared" si="14"/>
        <v>0.74894514767932496</v>
      </c>
      <c r="X101">
        <v>6.8890000000000002</v>
      </c>
      <c r="Y101">
        <f t="shared" si="15"/>
        <v>0.86707470182046464</v>
      </c>
    </row>
    <row r="102" spans="7:25" x14ac:dyDescent="0.3">
      <c r="G102" t="str">
        <v>Europe</v>
      </c>
      <c r="H102" t="str">
        <v>Isle of Man</v>
      </c>
      <c r="I102" s="3" t="str">
        <f>IFERROR((
K102*'Best Country'!$E$12+
M102*'Best Country'!$E$15+
O102*'Best Country'!$E$18+
Q102*'Best Country'!$E$9+
S102*'Best Country'!$E$6+
U102*'Best Country'!$E$21+
W102*'Best Country'!$E$24+
Y102*'Best Country'!$E$27
)/SUM('Best Country'!$E$5:$E$28), "")</f>
        <v/>
      </c>
      <c r="J102" t="str">
        <v/>
      </c>
      <c r="K102" t="str">
        <f t="shared" si="8"/>
        <v/>
      </c>
      <c r="L102" t="str">
        <v/>
      </c>
      <c r="M102" t="str">
        <f t="shared" si="9"/>
        <v/>
      </c>
      <c r="N102" t="str">
        <v/>
      </c>
      <c r="O102" t="str">
        <f t="shared" si="10"/>
        <v/>
      </c>
      <c r="P102" t="str">
        <v/>
      </c>
      <c r="Q102" t="str">
        <f t="shared" si="11"/>
        <v/>
      </c>
      <c r="R102">
        <v>52.5</v>
      </c>
      <c r="S102">
        <f t="shared" si="12"/>
        <v>0.5036144578313253</v>
      </c>
      <c r="T102" t="str">
        <v/>
      </c>
      <c r="U102" t="str">
        <f t="shared" si="13"/>
        <v/>
      </c>
      <c r="V102" t="str">
        <v/>
      </c>
      <c r="W102" t="str">
        <f t="shared" si="14"/>
        <v/>
      </c>
      <c r="X102" t="str">
        <v/>
      </c>
      <c r="Y102" t="str">
        <f t="shared" si="15"/>
        <v/>
      </c>
    </row>
    <row r="103" spans="7:25" x14ac:dyDescent="0.3">
      <c r="G103" t="str">
        <v>Asia</v>
      </c>
      <c r="H103" t="str">
        <v>Israel</v>
      </c>
      <c r="I103" s="3">
        <f>IFERROR((
K103*'Best Country'!$E$12+
M103*'Best Country'!$E$15+
O103*'Best Country'!$E$18+
Q103*'Best Country'!$E$9+
S103*'Best Country'!$E$6+
U103*'Best Country'!$E$21+
W103*'Best Country'!$E$24+
Y103*'Best Country'!$E$27
)/SUM('Best Country'!$E$5:$E$28), "")</f>
        <v>0.6803216371657933</v>
      </c>
      <c r="J103">
        <v>0.37893850000000001</v>
      </c>
      <c r="K103">
        <f t="shared" si="8"/>
        <v>0.64528726035832373</v>
      </c>
      <c r="L103">
        <v>0.91900000000000004</v>
      </c>
      <c r="M103">
        <f t="shared" si="9"/>
        <v>0.90924657534246589</v>
      </c>
      <c r="N103">
        <v>82.408000000000001</v>
      </c>
      <c r="O103">
        <f t="shared" si="10"/>
        <v>0.89444373319677373</v>
      </c>
      <c r="P103">
        <v>61296</v>
      </c>
      <c r="Q103">
        <f t="shared" si="11"/>
        <v>0.23416087998525165</v>
      </c>
      <c r="R103">
        <v>51.8</v>
      </c>
      <c r="S103">
        <f t="shared" si="12"/>
        <v>0.51204819277108427</v>
      </c>
      <c r="T103">
        <v>68.3</v>
      </c>
      <c r="U103">
        <f t="shared" si="13"/>
        <v>0.74277016742770163</v>
      </c>
      <c r="V103">
        <v>73.400000000000006</v>
      </c>
      <c r="W103">
        <f t="shared" si="14"/>
        <v>0.28691983122362863</v>
      </c>
      <c r="X103">
        <v>7.234</v>
      </c>
      <c r="Y103">
        <f t="shared" si="15"/>
        <v>0.92121782799748908</v>
      </c>
    </row>
    <row r="104" spans="7:25" x14ac:dyDescent="0.3">
      <c r="G104" t="str">
        <v>Europe</v>
      </c>
      <c r="H104" t="str">
        <v>Italy</v>
      </c>
      <c r="I104" s="3">
        <f>IFERROR((
K104*'Best Country'!$E$12+
M104*'Best Country'!$E$15+
O104*'Best Country'!$E$18+
Q104*'Best Country'!$E$9+
S104*'Best Country'!$E$6+
U104*'Best Country'!$E$21+
W104*'Best Country'!$E$24+
Y104*'Best Country'!$E$27
)/SUM('Best Country'!$E$5:$E$28), "")</f>
        <v>0.66368293571424086</v>
      </c>
      <c r="J104">
        <v>0.33651528000000003</v>
      </c>
      <c r="K104">
        <f t="shared" si="8"/>
        <v>0.75421335065474193</v>
      </c>
      <c r="L104">
        <v>0.91500000000000004</v>
      </c>
      <c r="M104">
        <f t="shared" si="9"/>
        <v>0.90239726027397271</v>
      </c>
      <c r="N104">
        <v>83.715999999999994</v>
      </c>
      <c r="O104">
        <f t="shared" si="10"/>
        <v>0.93630777109204943</v>
      </c>
      <c r="P104">
        <v>40964</v>
      </c>
      <c r="Q104">
        <f t="shared" si="11"/>
        <v>0.15607140662446997</v>
      </c>
      <c r="R104">
        <v>41.1</v>
      </c>
      <c r="S104">
        <f t="shared" si="12"/>
        <v>0.64096385542168677</v>
      </c>
      <c r="T104">
        <v>52.8</v>
      </c>
      <c r="U104">
        <f t="shared" si="13"/>
        <v>0.50684931506849307</v>
      </c>
      <c r="V104">
        <v>64.900000000000006</v>
      </c>
      <c r="W104">
        <f t="shared" si="14"/>
        <v>0.46624472573839648</v>
      </c>
      <c r="X104">
        <v>6.415</v>
      </c>
      <c r="Y104">
        <f t="shared" si="15"/>
        <v>0.79268675455116133</v>
      </c>
    </row>
    <row r="105" spans="7:25" x14ac:dyDescent="0.3">
      <c r="G105" t="str">
        <v>Africa</v>
      </c>
      <c r="H105" t="str">
        <v>Ivory Coast</v>
      </c>
      <c r="I105" s="3" t="str">
        <f>IFERROR((
K105*'Best Country'!$E$12+
M105*'Best Country'!$E$15+
O105*'Best Country'!$E$18+
Q105*'Best Country'!$E$9+
S105*'Best Country'!$E$6+
U105*'Best Country'!$E$21+
W105*'Best Country'!$E$24+
Y105*'Best Country'!$E$27
)/SUM('Best Country'!$E$5:$E$28), "")</f>
        <v/>
      </c>
      <c r="J105">
        <v>0.35275363999999998</v>
      </c>
      <c r="K105">
        <f t="shared" si="8"/>
        <v>0.71251964924250255</v>
      </c>
      <c r="L105">
        <v>0.58199999999999996</v>
      </c>
      <c r="M105">
        <f t="shared" si="9"/>
        <v>0.33219178082191775</v>
      </c>
      <c r="N105">
        <v>61.944000000000003</v>
      </c>
      <c r="O105">
        <f t="shared" si="10"/>
        <v>0.23946997823582125</v>
      </c>
      <c r="P105">
        <v>2888</v>
      </c>
      <c r="Q105">
        <f t="shared" si="11"/>
        <v>9.8322374485343821E-3</v>
      </c>
      <c r="R105">
        <v>32.1</v>
      </c>
      <c r="S105">
        <f t="shared" si="12"/>
        <v>0.74939759036144582</v>
      </c>
      <c r="T105" t="str">
        <v/>
      </c>
      <c r="U105" t="str">
        <f t="shared" si="13"/>
        <v/>
      </c>
      <c r="V105" t="str">
        <v/>
      </c>
      <c r="W105" t="str">
        <f t="shared" si="14"/>
        <v/>
      </c>
      <c r="X105">
        <v>5.1020000000000003</v>
      </c>
      <c r="Y105">
        <f t="shared" si="15"/>
        <v>0.5866290018832393</v>
      </c>
    </row>
    <row r="106" spans="7:25" x14ac:dyDescent="0.3">
      <c r="G106" t="str">
        <v>North America</v>
      </c>
      <c r="H106" t="str">
        <v>Jamaica</v>
      </c>
      <c r="I106" s="3" t="str">
        <f>IFERROR((
K106*'Best Country'!$E$12+
M106*'Best Country'!$E$15+
O106*'Best Country'!$E$18+
Q106*'Best Country'!$E$9+
S106*'Best Country'!$E$6+
U106*'Best Country'!$E$21+
W106*'Best Country'!$E$24+
Y106*'Best Country'!$E$27
)/SUM('Best Country'!$E$5:$E$28), "")</f>
        <v/>
      </c>
      <c r="J106">
        <v>0.39874472999999999</v>
      </c>
      <c r="K106">
        <f t="shared" si="8"/>
        <v>0.59443267653815091</v>
      </c>
      <c r="L106">
        <v>0.72</v>
      </c>
      <c r="M106">
        <f t="shared" si="9"/>
        <v>0.56849315068493145</v>
      </c>
      <c r="N106">
        <v>71.478999999999999</v>
      </c>
      <c r="O106">
        <f t="shared" si="10"/>
        <v>0.5446485725259248</v>
      </c>
      <c r="P106">
        <v>7547</v>
      </c>
      <c r="Q106">
        <f t="shared" si="11"/>
        <v>2.772614146131629E-2</v>
      </c>
      <c r="R106">
        <v>35.6</v>
      </c>
      <c r="S106">
        <f t="shared" si="12"/>
        <v>0.70722891566265056</v>
      </c>
      <c r="T106" t="str">
        <v/>
      </c>
      <c r="U106" t="str">
        <f t="shared" si="13"/>
        <v/>
      </c>
      <c r="V106" t="str">
        <v/>
      </c>
      <c r="W106" t="str">
        <f t="shared" si="14"/>
        <v/>
      </c>
      <c r="X106">
        <v>5.87</v>
      </c>
      <c r="Y106">
        <f t="shared" si="15"/>
        <v>0.70715630885122416</v>
      </c>
    </row>
    <row r="107" spans="7:25" x14ac:dyDescent="0.3">
      <c r="G107" t="str">
        <v>Asia</v>
      </c>
      <c r="H107" t="str">
        <v>Japan</v>
      </c>
      <c r="I107" s="3">
        <f>IFERROR((
K107*'Best Country'!$E$12+
M107*'Best Country'!$E$15+
O107*'Best Country'!$E$18+
Q107*'Best Country'!$E$9+
S107*'Best Country'!$E$6+
U107*'Best Country'!$E$21+
W107*'Best Country'!$E$24+
Y107*'Best Country'!$E$27
)/SUM('Best Country'!$E$5:$E$28), "")</f>
        <v>0.68177453870676252</v>
      </c>
      <c r="J107">
        <v>0.32339275000000001</v>
      </c>
      <c r="K107">
        <f t="shared" si="8"/>
        <v>0.78790683002046324</v>
      </c>
      <c r="L107">
        <v>0.92500000000000004</v>
      </c>
      <c r="M107">
        <f t="shared" si="9"/>
        <v>0.91952054794520555</v>
      </c>
      <c r="N107">
        <v>84.712000000000003</v>
      </c>
      <c r="O107">
        <f t="shared" si="10"/>
        <v>0.96818589169120473</v>
      </c>
      <c r="P107">
        <v>34008</v>
      </c>
      <c r="Q107">
        <f t="shared" si="11"/>
        <v>0.12935537393228047</v>
      </c>
      <c r="R107">
        <v>34.299999999999997</v>
      </c>
      <c r="S107">
        <f t="shared" si="12"/>
        <v>0.72289156626506035</v>
      </c>
      <c r="T107">
        <v>77.3</v>
      </c>
      <c r="U107">
        <f t="shared" si="13"/>
        <v>0.87975646879756464</v>
      </c>
      <c r="V107">
        <v>80.2</v>
      </c>
      <c r="W107">
        <f t="shared" si="14"/>
        <v>0.14345991561181426</v>
      </c>
      <c r="X107">
        <v>6.1470000000000002</v>
      </c>
      <c r="Y107">
        <f t="shared" si="15"/>
        <v>0.75062774639045837</v>
      </c>
    </row>
    <row r="108" spans="7:25" x14ac:dyDescent="0.3">
      <c r="G108" t="str">
        <v>Europe</v>
      </c>
      <c r="H108" t="str">
        <v>Jersey</v>
      </c>
      <c r="I108" s="3" t="str">
        <f>IFERROR((
K108*'Best Country'!$E$12+
M108*'Best Country'!$E$15+
O108*'Best Country'!$E$18+
Q108*'Best Country'!$E$9+
S108*'Best Country'!$E$6+
U108*'Best Country'!$E$21+
W108*'Best Country'!$E$24+
Y108*'Best Country'!$E$27
)/SUM('Best Country'!$E$5:$E$28), "")</f>
        <v/>
      </c>
      <c r="J108" t="str">
        <v/>
      </c>
      <c r="K108" t="str">
        <f t="shared" si="8"/>
        <v/>
      </c>
      <c r="L108" t="str">
        <v/>
      </c>
      <c r="M108" t="str">
        <f t="shared" si="9"/>
        <v/>
      </c>
      <c r="N108" t="str">
        <v/>
      </c>
      <c r="O108" t="str">
        <f t="shared" si="10"/>
        <v/>
      </c>
      <c r="P108" t="str">
        <v/>
      </c>
      <c r="Q108" t="str">
        <f t="shared" si="11"/>
        <v/>
      </c>
      <c r="R108" t="str">
        <v/>
      </c>
      <c r="S108" t="str">
        <f t="shared" si="12"/>
        <v/>
      </c>
      <c r="T108" t="str">
        <v/>
      </c>
      <c r="U108" t="str">
        <f t="shared" si="13"/>
        <v/>
      </c>
      <c r="V108" t="str">
        <v/>
      </c>
      <c r="W108" t="str">
        <f t="shared" si="14"/>
        <v/>
      </c>
      <c r="X108" t="str">
        <v/>
      </c>
      <c r="Y108" t="str">
        <f t="shared" si="15"/>
        <v/>
      </c>
    </row>
    <row r="109" spans="7:25" x14ac:dyDescent="0.3">
      <c r="G109" t="str">
        <v>Asia</v>
      </c>
      <c r="H109" t="str">
        <v>Jordan</v>
      </c>
      <c r="I109" s="3">
        <f>IFERROR((
K109*'Best Country'!$E$12+
M109*'Best Country'!$E$15+
O109*'Best Country'!$E$18+
Q109*'Best Country'!$E$9+
S109*'Best Country'!$E$6+
U109*'Best Country'!$E$21+
W109*'Best Country'!$E$24+
Y109*'Best Country'!$E$27
)/SUM('Best Country'!$E$5:$E$28), "")</f>
        <v>0.54056463510495578</v>
      </c>
      <c r="J109">
        <v>0.3365573</v>
      </c>
      <c r="K109">
        <f t="shared" si="8"/>
        <v>0.75410545987430955</v>
      </c>
      <c r="L109">
        <v>0.754</v>
      </c>
      <c r="M109">
        <f t="shared" si="9"/>
        <v>0.62671232876712335</v>
      </c>
      <c r="N109">
        <v>77.813999999999993</v>
      </c>
      <c r="O109">
        <f t="shared" si="10"/>
        <v>0.74740750224042984</v>
      </c>
      <c r="P109">
        <v>4870</v>
      </c>
      <c r="Q109">
        <f t="shared" si="11"/>
        <v>1.7444540035641862E-2</v>
      </c>
      <c r="R109">
        <v>24.2</v>
      </c>
      <c r="S109">
        <f t="shared" si="12"/>
        <v>0.84457831325301203</v>
      </c>
      <c r="T109">
        <v>60.2</v>
      </c>
      <c r="U109">
        <f t="shared" si="13"/>
        <v>0.61948249619482498</v>
      </c>
      <c r="V109">
        <v>65.5</v>
      </c>
      <c r="W109">
        <f t="shared" si="14"/>
        <v>0.45358649789029537</v>
      </c>
      <c r="X109">
        <v>4.3099999999999996</v>
      </c>
      <c r="Y109">
        <f t="shared" si="15"/>
        <v>0.46233521657250465</v>
      </c>
    </row>
    <row r="110" spans="7:25" x14ac:dyDescent="0.3">
      <c r="G110" t="str">
        <v>Asia</v>
      </c>
      <c r="H110" t="str">
        <v>Kazakhstan</v>
      </c>
      <c r="I110" s="3">
        <f>IFERROR((
K110*'Best Country'!$E$12+
M110*'Best Country'!$E$15+
O110*'Best Country'!$E$18+
Q110*'Best Country'!$E$9+
S110*'Best Country'!$E$6+
U110*'Best Country'!$E$21+
W110*'Best Country'!$E$24+
Y110*'Best Country'!$E$27
)/SUM('Best Country'!$E$5:$E$28), "")</f>
        <v>0.63990139595361928</v>
      </c>
      <c r="J110">
        <v>0.29191532999999997</v>
      </c>
      <c r="K110">
        <f t="shared" si="8"/>
        <v>0.8687284247324697</v>
      </c>
      <c r="L110">
        <v>0.83699999999999997</v>
      </c>
      <c r="M110">
        <f t="shared" si="9"/>
        <v>0.76883561643835618</v>
      </c>
      <c r="N110">
        <v>74.402000000000001</v>
      </c>
      <c r="O110">
        <f t="shared" si="10"/>
        <v>0.6382025348866982</v>
      </c>
      <c r="P110">
        <v>14419</v>
      </c>
      <c r="Q110">
        <f t="shared" si="11"/>
        <v>5.4119553862225771E-2</v>
      </c>
      <c r="R110">
        <v>19.600000000000001</v>
      </c>
      <c r="S110">
        <f t="shared" si="12"/>
        <v>0.9</v>
      </c>
      <c r="T110">
        <v>54.4</v>
      </c>
      <c r="U110">
        <f t="shared" si="13"/>
        <v>0.53120243531202427</v>
      </c>
      <c r="V110">
        <v>60.7</v>
      </c>
      <c r="W110">
        <f t="shared" si="14"/>
        <v>0.55485232067510548</v>
      </c>
      <c r="X110">
        <v>6.3780000000000001</v>
      </c>
      <c r="Y110">
        <f t="shared" si="15"/>
        <v>0.78688010043942247</v>
      </c>
    </row>
    <row r="111" spans="7:25" x14ac:dyDescent="0.3">
      <c r="G111" t="str">
        <v>Africa</v>
      </c>
      <c r="H111" t="str">
        <v>Kenya</v>
      </c>
      <c r="I111" s="3">
        <f>IFERROR((
K111*'Best Country'!$E$12+
M111*'Best Country'!$E$15+
O111*'Best Country'!$E$18+
Q111*'Best Country'!$E$9+
S111*'Best Country'!$E$6+
U111*'Best Country'!$E$21+
W111*'Best Country'!$E$24+
Y111*'Best Country'!$E$27
)/SUM('Best Country'!$E$5:$E$28), "")</f>
        <v>0.43368986392159131</v>
      </c>
      <c r="J111">
        <v>0.38701963</v>
      </c>
      <c r="K111">
        <f t="shared" si="8"/>
        <v>0.62453810703905432</v>
      </c>
      <c r="L111">
        <v>0.628</v>
      </c>
      <c r="M111">
        <f t="shared" si="9"/>
        <v>0.41095890410958907</v>
      </c>
      <c r="N111">
        <v>63.646000000000001</v>
      </c>
      <c r="O111">
        <f t="shared" si="10"/>
        <v>0.29394443733196768</v>
      </c>
      <c r="P111">
        <v>2289</v>
      </c>
      <c r="Q111">
        <f t="shared" si="11"/>
        <v>7.5316475142874701E-3</v>
      </c>
      <c r="R111">
        <v>19.600000000000001</v>
      </c>
      <c r="S111">
        <f t="shared" si="12"/>
        <v>0.9</v>
      </c>
      <c r="T111">
        <v>44.2</v>
      </c>
      <c r="U111">
        <f t="shared" si="13"/>
        <v>0.37595129375951297</v>
      </c>
      <c r="V111">
        <v>62.2</v>
      </c>
      <c r="W111">
        <f t="shared" si="14"/>
        <v>0.52320675105485226</v>
      </c>
      <c r="X111">
        <v>4.51</v>
      </c>
      <c r="Y111">
        <f t="shared" si="15"/>
        <v>0.49372253609541744</v>
      </c>
    </row>
    <row r="112" spans="7:25" x14ac:dyDescent="0.3">
      <c r="G112" t="str">
        <v>Oceania</v>
      </c>
      <c r="H112" t="str">
        <v>Kiribati</v>
      </c>
      <c r="I112" s="3" t="str">
        <f>IFERROR((
K112*'Best Country'!$E$12+
M112*'Best Country'!$E$15+
O112*'Best Country'!$E$18+
Q112*'Best Country'!$E$9+
S112*'Best Country'!$E$6+
U112*'Best Country'!$E$21+
W112*'Best Country'!$E$24+
Y112*'Best Country'!$E$27
)/SUM('Best Country'!$E$5:$E$28), "")</f>
        <v/>
      </c>
      <c r="J112">
        <v>0.27832701999999998</v>
      </c>
      <c r="K112">
        <f t="shared" si="8"/>
        <v>0.90361784335830064</v>
      </c>
      <c r="L112">
        <v>0.64400000000000002</v>
      </c>
      <c r="M112">
        <f t="shared" si="9"/>
        <v>0.43835616438356168</v>
      </c>
      <c r="N112">
        <v>66.472999999999999</v>
      </c>
      <c r="O112">
        <f t="shared" si="10"/>
        <v>0.38442580975547291</v>
      </c>
      <c r="P112">
        <v>2286</v>
      </c>
      <c r="Q112">
        <f t="shared" si="11"/>
        <v>7.5201253610274691E-3</v>
      </c>
      <c r="R112" t="str">
        <v/>
      </c>
      <c r="S112" t="str">
        <f t="shared" si="12"/>
        <v/>
      </c>
      <c r="T112" t="str">
        <v/>
      </c>
      <c r="U112" t="str">
        <f t="shared" si="13"/>
        <v/>
      </c>
      <c r="V112" t="str">
        <v/>
      </c>
      <c r="W112" t="str">
        <f t="shared" si="14"/>
        <v/>
      </c>
      <c r="X112" t="str">
        <v/>
      </c>
      <c r="Y112" t="str">
        <f t="shared" si="15"/>
        <v/>
      </c>
    </row>
    <row r="113" spans="7:25" x14ac:dyDescent="0.3">
      <c r="G113" t="str">
        <v>Asia</v>
      </c>
      <c r="H113" t="str">
        <v>Kuwait</v>
      </c>
      <c r="I113" s="3" t="str">
        <f>IFERROR((
K113*'Best Country'!$E$12+
M113*'Best Country'!$E$15+
O113*'Best Country'!$E$18+
Q113*'Best Country'!$E$9+
S113*'Best Country'!$E$6+
U113*'Best Country'!$E$21+
W113*'Best Country'!$E$24+
Y113*'Best Country'!$E$27
)/SUM('Best Country'!$E$5:$E$28), "")</f>
        <v/>
      </c>
      <c r="J113" t="str">
        <v/>
      </c>
      <c r="K113" t="str">
        <f t="shared" si="8"/>
        <v/>
      </c>
      <c r="L113">
        <v>0.85199999999999998</v>
      </c>
      <c r="M113">
        <f t="shared" si="9"/>
        <v>0.79452054794520544</v>
      </c>
      <c r="N113">
        <v>80.405000000000001</v>
      </c>
      <c r="O113">
        <f t="shared" si="10"/>
        <v>0.830335424401485</v>
      </c>
      <c r="P113">
        <v>30461</v>
      </c>
      <c r="Q113">
        <f t="shared" si="11"/>
        <v>0.11573234806120568</v>
      </c>
      <c r="R113">
        <v>32.5</v>
      </c>
      <c r="S113">
        <f t="shared" si="12"/>
        <v>0.74457831325301205</v>
      </c>
      <c r="T113">
        <v>67.3</v>
      </c>
      <c r="U113">
        <f t="shared" si="13"/>
        <v>0.72754946727549463</v>
      </c>
      <c r="V113">
        <v>58.4</v>
      </c>
      <c r="W113">
        <f t="shared" si="14"/>
        <v>0.60337552742616041</v>
      </c>
      <c r="X113">
        <v>6.6289999999999996</v>
      </c>
      <c r="Y113">
        <f t="shared" si="15"/>
        <v>0.82627118644067798</v>
      </c>
    </row>
    <row r="114" spans="7:25" x14ac:dyDescent="0.3">
      <c r="G114" t="str">
        <v>Asia</v>
      </c>
      <c r="H114" t="str">
        <v>Kyrgyzstan</v>
      </c>
      <c r="I114" s="3" t="str">
        <f>IFERROR((
K114*'Best Country'!$E$12+
M114*'Best Country'!$E$15+
O114*'Best Country'!$E$18+
Q114*'Best Country'!$E$9+
S114*'Best Country'!$E$6+
U114*'Best Country'!$E$21+
W114*'Best Country'!$E$24+
Y114*'Best Country'!$E$27
)/SUM('Best Country'!$E$5:$E$28), "")</f>
        <v/>
      </c>
      <c r="J114">
        <v>0.26352527999999997</v>
      </c>
      <c r="K114">
        <f t="shared" si="8"/>
        <v>0.9416228714486744</v>
      </c>
      <c r="L114">
        <v>0.72</v>
      </c>
      <c r="M114">
        <f t="shared" si="9"/>
        <v>0.56849315068493145</v>
      </c>
      <c r="N114">
        <v>71.677000000000007</v>
      </c>
      <c r="O114">
        <f t="shared" si="10"/>
        <v>0.55098578927154029</v>
      </c>
      <c r="P114">
        <v>2721</v>
      </c>
      <c r="Q114">
        <f t="shared" si="11"/>
        <v>9.1908375837276464E-3</v>
      </c>
      <c r="R114">
        <v>19.399999999999999</v>
      </c>
      <c r="S114">
        <f t="shared" si="12"/>
        <v>0.90240963855421685</v>
      </c>
      <c r="T114" t="str">
        <v/>
      </c>
      <c r="U114" t="str">
        <f t="shared" si="13"/>
        <v/>
      </c>
      <c r="V114" t="str">
        <v/>
      </c>
      <c r="W114" t="str">
        <f t="shared" si="14"/>
        <v/>
      </c>
      <c r="X114">
        <v>5.8579999999999997</v>
      </c>
      <c r="Y114">
        <f t="shared" si="15"/>
        <v>0.70527306967984926</v>
      </c>
    </row>
    <row r="115" spans="7:25" x14ac:dyDescent="0.3">
      <c r="G115" t="str">
        <v>Asia</v>
      </c>
      <c r="H115" t="str">
        <v>Laos</v>
      </c>
      <c r="I115" s="3" t="str">
        <f>IFERROR((
K115*'Best Country'!$E$12+
M115*'Best Country'!$E$15+
O115*'Best Country'!$E$18+
Q115*'Best Country'!$E$9+
S115*'Best Country'!$E$6+
U115*'Best Country'!$E$21+
W115*'Best Country'!$E$24+
Y115*'Best Country'!$E$27
)/SUM('Best Country'!$E$5:$E$28), "")</f>
        <v/>
      </c>
      <c r="J115">
        <v>0.38802432999999997</v>
      </c>
      <c r="K115">
        <f t="shared" si="8"/>
        <v>0.62195843385722593</v>
      </c>
      <c r="L115">
        <v>0.61699999999999999</v>
      </c>
      <c r="M115">
        <f t="shared" si="9"/>
        <v>0.39212328767123289</v>
      </c>
      <c r="N115">
        <v>68.963999999999999</v>
      </c>
      <c r="O115">
        <f t="shared" si="10"/>
        <v>0.46415311739854037</v>
      </c>
      <c r="P115">
        <v>2073</v>
      </c>
      <c r="Q115">
        <f t="shared" si="11"/>
        <v>6.7020524795673815E-3</v>
      </c>
      <c r="R115" t="str">
        <v/>
      </c>
      <c r="S115" t="str">
        <f t="shared" si="12"/>
        <v/>
      </c>
      <c r="T115" t="str">
        <v/>
      </c>
      <c r="U115" t="str">
        <f t="shared" si="13"/>
        <v/>
      </c>
      <c r="V115" t="str">
        <v/>
      </c>
      <c r="W115" t="str">
        <f t="shared" si="14"/>
        <v/>
      </c>
      <c r="X115">
        <v>5.3010000000000002</v>
      </c>
      <c r="Y115">
        <f t="shared" si="15"/>
        <v>0.61785938480853742</v>
      </c>
    </row>
    <row r="116" spans="7:25" x14ac:dyDescent="0.3">
      <c r="G116" t="str">
        <v>Europe</v>
      </c>
      <c r="H116" t="str">
        <v>Latvia</v>
      </c>
      <c r="I116" s="3">
        <f>IFERROR((
K116*'Best Country'!$E$12+
M116*'Best Country'!$E$15+
O116*'Best Country'!$E$18+
Q116*'Best Country'!$E$9+
S116*'Best Country'!$E$6+
U116*'Best Country'!$E$21+
W116*'Best Country'!$E$24+
Y116*'Best Country'!$E$27
)/SUM('Best Country'!$E$5:$E$28), "")</f>
        <v>0.64150120841904967</v>
      </c>
      <c r="J116">
        <v>0.33675845999999998</v>
      </c>
      <c r="K116">
        <f t="shared" si="8"/>
        <v>0.75358896036474787</v>
      </c>
      <c r="L116">
        <v>0.88900000000000001</v>
      </c>
      <c r="M116">
        <f t="shared" si="9"/>
        <v>0.85787671232876717</v>
      </c>
      <c r="N116">
        <v>76.19</v>
      </c>
      <c r="O116">
        <f t="shared" si="10"/>
        <v>0.69542952246831369</v>
      </c>
      <c r="P116">
        <v>24566</v>
      </c>
      <c r="Q116">
        <f t="shared" si="11"/>
        <v>9.3091316905303256E-2</v>
      </c>
      <c r="R116">
        <v>32.700000000000003</v>
      </c>
      <c r="S116">
        <f t="shared" si="12"/>
        <v>0.74216867469879522</v>
      </c>
      <c r="T116">
        <v>63.4</v>
      </c>
      <c r="U116">
        <f t="shared" si="13"/>
        <v>0.66818873668188727</v>
      </c>
      <c r="V116">
        <v>62.9</v>
      </c>
      <c r="W116">
        <f t="shared" si="14"/>
        <v>0.50843881856540096</v>
      </c>
      <c r="X116">
        <v>6.2069999999999999</v>
      </c>
      <c r="Y116">
        <f t="shared" si="15"/>
        <v>0.76004394224733207</v>
      </c>
    </row>
    <row r="117" spans="7:25" x14ac:dyDescent="0.3">
      <c r="G117" t="str">
        <v>Asia</v>
      </c>
      <c r="H117" t="str">
        <v>Lebanon</v>
      </c>
      <c r="I117" s="3">
        <f>IFERROR((
K117*'Best Country'!$E$12+
M117*'Best Country'!$E$15+
O117*'Best Country'!$E$18+
Q117*'Best Country'!$E$9+
S117*'Best Country'!$E$6+
U117*'Best Country'!$E$21+
W117*'Best Country'!$E$24+
Y117*'Best Country'!$E$27
)/SUM('Best Country'!$E$5:$E$28), "")</f>
        <v>0.48794528141041449</v>
      </c>
      <c r="J117">
        <v>0.35281137000000001</v>
      </c>
      <c r="K117">
        <f t="shared" si="8"/>
        <v>0.71237142138066611</v>
      </c>
      <c r="L117">
        <v>0.752</v>
      </c>
      <c r="M117">
        <f t="shared" si="9"/>
        <v>0.62328767123287676</v>
      </c>
      <c r="N117">
        <v>77.816999999999993</v>
      </c>
      <c r="O117">
        <f t="shared" si="10"/>
        <v>0.74750352067596948</v>
      </c>
      <c r="P117">
        <v>4695</v>
      </c>
      <c r="Q117">
        <f t="shared" si="11"/>
        <v>1.6772414428808457E-2</v>
      </c>
      <c r="R117">
        <v>28.8</v>
      </c>
      <c r="S117">
        <f t="shared" si="12"/>
        <v>0.78915662650602414</v>
      </c>
      <c r="T117">
        <v>53.1</v>
      </c>
      <c r="U117">
        <f t="shared" si="13"/>
        <v>0.51141552511415522</v>
      </c>
      <c r="V117">
        <v>63.7</v>
      </c>
      <c r="W117">
        <f t="shared" si="14"/>
        <v>0.49156118143459915</v>
      </c>
      <c r="X117">
        <v>3.1880000000000002</v>
      </c>
      <c r="Y117">
        <f t="shared" si="15"/>
        <v>0.28625235404896421</v>
      </c>
    </row>
    <row r="118" spans="7:25" x14ac:dyDescent="0.3">
      <c r="G118" t="str">
        <v>Africa</v>
      </c>
      <c r="H118" t="str">
        <v>Lesotho</v>
      </c>
      <c r="I118" s="3" t="str">
        <f>IFERROR((
K118*'Best Country'!$E$12+
M118*'Best Country'!$E$15+
O118*'Best Country'!$E$18+
Q118*'Best Country'!$E$9+
S118*'Best Country'!$E$6+
U118*'Best Country'!$E$21+
W118*'Best Country'!$E$24+
Y118*'Best Country'!$E$27
)/SUM('Best Country'!$E$5:$E$28), "")</f>
        <v/>
      </c>
      <c r="J118">
        <v>0.44877613</v>
      </c>
      <c r="K118">
        <f t="shared" si="8"/>
        <v>0.46597178191355104</v>
      </c>
      <c r="L118">
        <v>0.55000000000000004</v>
      </c>
      <c r="M118">
        <f t="shared" si="9"/>
        <v>0.27739726027397266</v>
      </c>
      <c r="N118">
        <v>57.375</v>
      </c>
      <c r="O118">
        <f t="shared" si="10"/>
        <v>9.3233900908974418E-2</v>
      </c>
      <c r="P118">
        <v>1017</v>
      </c>
      <c r="Q118">
        <f t="shared" si="11"/>
        <v>2.6462545320469488E-3</v>
      </c>
      <c r="R118" t="str">
        <v/>
      </c>
      <c r="S118" t="str">
        <f t="shared" si="12"/>
        <v/>
      </c>
      <c r="T118" t="str">
        <v/>
      </c>
      <c r="U118" t="str">
        <f t="shared" si="13"/>
        <v/>
      </c>
      <c r="V118" t="str">
        <v/>
      </c>
      <c r="W118" t="str">
        <f t="shared" si="14"/>
        <v/>
      </c>
      <c r="X118">
        <v>3.7570000000000001</v>
      </c>
      <c r="Y118">
        <f t="shared" si="15"/>
        <v>0.37554927809165095</v>
      </c>
    </row>
    <row r="119" spans="7:25" x14ac:dyDescent="0.3">
      <c r="G119" t="str">
        <v>Africa</v>
      </c>
      <c r="H119" t="str">
        <v>Liberia</v>
      </c>
      <c r="I119" s="3" t="str">
        <f>IFERROR((
K119*'Best Country'!$E$12+
M119*'Best Country'!$E$15+
O119*'Best Country'!$E$18+
Q119*'Best Country'!$E$9+
S119*'Best Country'!$E$6+
U119*'Best Country'!$E$21+
W119*'Best Country'!$E$24+
Y119*'Best Country'!$E$27
)/SUM('Best Country'!$E$5:$E$28), "")</f>
        <v/>
      </c>
      <c r="J119">
        <v>0.35265439999999998</v>
      </c>
      <c r="K119">
        <f t="shared" si="8"/>
        <v>0.71277445840599873</v>
      </c>
      <c r="L119">
        <v>0.51</v>
      </c>
      <c r="M119">
        <f t="shared" si="9"/>
        <v>0.2089041095890411</v>
      </c>
      <c r="N119">
        <v>62.162999999999997</v>
      </c>
      <c r="O119">
        <f t="shared" si="10"/>
        <v>0.24647932403021358</v>
      </c>
      <c r="P119">
        <v>901</v>
      </c>
      <c r="Q119">
        <f t="shared" si="11"/>
        <v>2.2007312726602347E-3</v>
      </c>
      <c r="R119" t="str">
        <v/>
      </c>
      <c r="S119" t="str">
        <f t="shared" si="12"/>
        <v/>
      </c>
      <c r="T119" t="str">
        <v/>
      </c>
      <c r="U119" t="str">
        <f t="shared" si="13"/>
        <v/>
      </c>
      <c r="V119" t="str">
        <v/>
      </c>
      <c r="W119" t="str">
        <f t="shared" si="14"/>
        <v/>
      </c>
      <c r="X119">
        <v>4.2770000000000001</v>
      </c>
      <c r="Y119">
        <f t="shared" si="15"/>
        <v>0.45715630885122416</v>
      </c>
    </row>
    <row r="120" spans="7:25" x14ac:dyDescent="0.3">
      <c r="G120" t="str">
        <v>Africa</v>
      </c>
      <c r="H120" t="str">
        <v>Libya</v>
      </c>
      <c r="I120" s="3" t="str">
        <f>IFERROR((
K120*'Best Country'!$E$12+
M120*'Best Country'!$E$15+
O120*'Best Country'!$E$18+
Q120*'Best Country'!$E$9+
S120*'Best Country'!$E$6+
U120*'Best Country'!$E$21+
W120*'Best Country'!$E$24+
Y120*'Best Country'!$E$27
)/SUM('Best Country'!$E$5:$E$28), "")</f>
        <v/>
      </c>
      <c r="J120" t="str">
        <v/>
      </c>
      <c r="K120" t="str">
        <f t="shared" si="8"/>
        <v/>
      </c>
      <c r="L120">
        <v>0.72099999999999997</v>
      </c>
      <c r="M120">
        <f t="shared" si="9"/>
        <v>0.5702054794520548</v>
      </c>
      <c r="N120">
        <v>69.338999999999999</v>
      </c>
      <c r="O120">
        <f t="shared" si="10"/>
        <v>0.4761554218409933</v>
      </c>
      <c r="P120">
        <v>6366</v>
      </c>
      <c r="Q120">
        <f t="shared" si="11"/>
        <v>2.3190253794629141E-2</v>
      </c>
      <c r="R120">
        <v>11.3</v>
      </c>
      <c r="S120">
        <f t="shared" si="12"/>
        <v>1</v>
      </c>
      <c r="T120" t="str">
        <v/>
      </c>
      <c r="U120" t="str">
        <f t="shared" si="13"/>
        <v/>
      </c>
      <c r="V120" t="str">
        <v/>
      </c>
      <c r="W120" t="str">
        <f t="shared" si="14"/>
        <v/>
      </c>
      <c r="X120">
        <v>5.82</v>
      </c>
      <c r="Y120">
        <f t="shared" si="15"/>
        <v>0.699309478970496</v>
      </c>
    </row>
    <row r="121" spans="7:25" x14ac:dyDescent="0.3">
      <c r="G121" t="str">
        <v>Europe</v>
      </c>
      <c r="H121" t="str">
        <v>Liechtenstein</v>
      </c>
      <c r="I121" s="3" t="str">
        <f>IFERROR((
K121*'Best Country'!$E$12+
M121*'Best Country'!$E$15+
O121*'Best Country'!$E$18+
Q121*'Best Country'!$E$9+
S121*'Best Country'!$E$6+
U121*'Best Country'!$E$21+
W121*'Best Country'!$E$24+
Y121*'Best Country'!$E$27
)/SUM('Best Country'!$E$5:$E$28), "")</f>
        <v/>
      </c>
      <c r="J121" t="str">
        <v/>
      </c>
      <c r="K121" t="str">
        <f t="shared" si="8"/>
        <v/>
      </c>
      <c r="L121">
        <v>0.93799999999999994</v>
      </c>
      <c r="M121">
        <f t="shared" si="9"/>
        <v>0.94178082191780821</v>
      </c>
      <c r="N121">
        <v>83.63</v>
      </c>
      <c r="O121">
        <f t="shared" si="10"/>
        <v>0.93355524260658018</v>
      </c>
      <c r="P121">
        <v>198494</v>
      </c>
      <c r="Q121">
        <f t="shared" si="11"/>
        <v>0.76109967430713454</v>
      </c>
      <c r="R121" t="str">
        <v/>
      </c>
      <c r="S121" t="str">
        <f t="shared" si="12"/>
        <v/>
      </c>
      <c r="T121" t="str">
        <v/>
      </c>
      <c r="U121" t="str">
        <f t="shared" si="13"/>
        <v/>
      </c>
      <c r="V121" t="str">
        <v/>
      </c>
      <c r="W121" t="str">
        <f t="shared" si="14"/>
        <v/>
      </c>
      <c r="X121" t="str">
        <v/>
      </c>
      <c r="Y121" t="str">
        <f t="shared" si="15"/>
        <v/>
      </c>
    </row>
    <row r="122" spans="7:25" x14ac:dyDescent="0.3">
      <c r="G122" t="str">
        <v>Europe</v>
      </c>
      <c r="H122" t="str">
        <v>Lithuania</v>
      </c>
      <c r="I122" s="3">
        <f>IFERROR((
K122*'Best Country'!$E$12+
M122*'Best Country'!$E$15+
O122*'Best Country'!$E$18+
Q122*'Best Country'!$E$9+
S122*'Best Country'!$E$6+
U122*'Best Country'!$E$21+
W122*'Best Country'!$E$24+
Y122*'Best Country'!$E$27
)/SUM('Best Country'!$E$5:$E$28), "")</f>
        <v>0.64425172171975864</v>
      </c>
      <c r="J122">
        <v>0.3656239</v>
      </c>
      <c r="K122">
        <f t="shared" si="8"/>
        <v>0.67947389970019101</v>
      </c>
      <c r="L122">
        <v>0.89500000000000002</v>
      </c>
      <c r="M122">
        <f t="shared" si="9"/>
        <v>0.86815068493150693</v>
      </c>
      <c r="N122">
        <v>76.025000000000006</v>
      </c>
      <c r="O122">
        <f t="shared" si="10"/>
        <v>0.69014850851363474</v>
      </c>
      <c r="P122">
        <v>31515</v>
      </c>
      <c r="Q122">
        <f t="shared" si="11"/>
        <v>0.11978046457321945</v>
      </c>
      <c r="R122">
        <v>34.299999999999997</v>
      </c>
      <c r="S122">
        <f t="shared" si="12"/>
        <v>0.72289156626506035</v>
      </c>
      <c r="T122">
        <v>67</v>
      </c>
      <c r="U122">
        <f t="shared" si="13"/>
        <v>0.72298325722983259</v>
      </c>
      <c r="V122">
        <v>74.7</v>
      </c>
      <c r="W122">
        <f t="shared" si="14"/>
        <v>0.25949367088607589</v>
      </c>
      <c r="X122">
        <v>6.8289999999999997</v>
      </c>
      <c r="Y122">
        <f t="shared" si="15"/>
        <v>0.85765850596359072</v>
      </c>
    </row>
    <row r="123" spans="7:25" x14ac:dyDescent="0.3">
      <c r="G123" t="str">
        <v>Europe</v>
      </c>
      <c r="H123" t="str">
        <v>Luxembourg</v>
      </c>
      <c r="I123" s="3">
        <f>IFERROR((
K123*'Best Country'!$E$12+
M123*'Best Country'!$E$15+
O123*'Best Country'!$E$18+
Q123*'Best Country'!$E$9+
S123*'Best Country'!$E$6+
U123*'Best Country'!$E$21+
W123*'Best Country'!$E$24+
Y123*'Best Country'!$E$27
)/SUM('Best Country'!$E$5:$E$28), "")</f>
        <v>0.71565159314537707</v>
      </c>
      <c r="J123">
        <v>0.34093987999999997</v>
      </c>
      <c r="K123">
        <f t="shared" si="8"/>
        <v>0.74285272364138633</v>
      </c>
      <c r="L123">
        <v>0.92200000000000004</v>
      </c>
      <c r="M123">
        <f t="shared" si="9"/>
        <v>0.91438356164383572</v>
      </c>
      <c r="N123">
        <v>82.228999999999999</v>
      </c>
      <c r="O123">
        <f t="shared" si="10"/>
        <v>0.88871463320957611</v>
      </c>
      <c r="P123">
        <v>141983</v>
      </c>
      <c r="Q123">
        <f t="shared" si="11"/>
        <v>0.5440568733484914</v>
      </c>
      <c r="R123">
        <v>62.4</v>
      </c>
      <c r="S123">
        <f t="shared" si="12"/>
        <v>0.38433734939759046</v>
      </c>
      <c r="T123">
        <v>66</v>
      </c>
      <c r="U123">
        <f t="shared" si="13"/>
        <v>0.70776255707762559</v>
      </c>
      <c r="V123">
        <v>75.099999999999994</v>
      </c>
      <c r="W123">
        <f t="shared" si="14"/>
        <v>0.25105485232067526</v>
      </c>
      <c r="X123">
        <v>7.1219999999999999</v>
      </c>
      <c r="Y123">
        <f t="shared" si="15"/>
        <v>0.90364092906465787</v>
      </c>
    </row>
    <row r="124" spans="7:25" x14ac:dyDescent="0.3">
      <c r="G124" t="str">
        <v>Asia</v>
      </c>
      <c r="H124" t="str">
        <v>Macau</v>
      </c>
      <c r="I124" s="3" t="str">
        <f>IFERROR((
K124*'Best Country'!$E$12+
M124*'Best Country'!$E$15+
O124*'Best Country'!$E$18+
Q124*'Best Country'!$E$9+
S124*'Best Country'!$E$6+
U124*'Best Country'!$E$21+
W124*'Best Country'!$E$24+
Y124*'Best Country'!$E$27
)/SUM('Best Country'!$E$5:$E$28), "")</f>
        <v/>
      </c>
      <c r="J124" t="str">
        <v/>
      </c>
      <c r="K124" t="str">
        <f t="shared" si="8"/>
        <v/>
      </c>
      <c r="L124" t="str">
        <v/>
      </c>
      <c r="M124" t="str">
        <f t="shared" si="9"/>
        <v/>
      </c>
      <c r="N124" t="str">
        <v/>
      </c>
      <c r="O124" t="str">
        <f t="shared" si="10"/>
        <v/>
      </c>
      <c r="P124">
        <v>73897</v>
      </c>
      <c r="Q124">
        <f t="shared" si="11"/>
        <v>0.28255776439501012</v>
      </c>
      <c r="R124">
        <v>44</v>
      </c>
      <c r="S124">
        <f t="shared" si="12"/>
        <v>0.60602409638554211</v>
      </c>
      <c r="T124" t="str">
        <v/>
      </c>
      <c r="U124" t="str">
        <f t="shared" si="13"/>
        <v/>
      </c>
      <c r="V124" t="str">
        <v/>
      </c>
      <c r="W124" t="str">
        <f t="shared" si="14"/>
        <v/>
      </c>
      <c r="X124" t="str">
        <v/>
      </c>
      <c r="Y124" t="str">
        <f t="shared" si="15"/>
        <v/>
      </c>
    </row>
    <row r="125" spans="7:25" x14ac:dyDescent="0.3">
      <c r="G125" t="str">
        <v>Africa</v>
      </c>
      <c r="H125" t="str">
        <v>Madagascar</v>
      </c>
      <c r="I125" s="3" t="str">
        <f>IFERROR((
K125*'Best Country'!$E$12+
M125*'Best Country'!$E$15+
O125*'Best Country'!$E$18+
Q125*'Best Country'!$E$9+
S125*'Best Country'!$E$6+
U125*'Best Country'!$E$21+
W125*'Best Country'!$E$24+
Y125*'Best Country'!$E$27
)/SUM('Best Country'!$E$5:$E$28), "")</f>
        <v/>
      </c>
      <c r="J125">
        <v>0.42533894999999999</v>
      </c>
      <c r="K125">
        <f t="shared" si="8"/>
        <v>0.52614921269257753</v>
      </c>
      <c r="L125">
        <v>0.48699999999999999</v>
      </c>
      <c r="M125">
        <f t="shared" si="9"/>
        <v>0.16952054794520546</v>
      </c>
      <c r="N125">
        <v>63.631999999999998</v>
      </c>
      <c r="O125">
        <f t="shared" si="10"/>
        <v>0.29349635129944934</v>
      </c>
      <c r="P125">
        <v>571</v>
      </c>
      <c r="Q125">
        <f t="shared" si="11"/>
        <v>9.3329441406009956E-4</v>
      </c>
      <c r="R125">
        <v>15.4</v>
      </c>
      <c r="S125">
        <f t="shared" si="12"/>
        <v>0.95060240963855425</v>
      </c>
      <c r="T125" t="str">
        <v/>
      </c>
      <c r="U125" t="str">
        <f t="shared" si="13"/>
        <v/>
      </c>
      <c r="V125" t="str">
        <v/>
      </c>
      <c r="W125" t="str">
        <f t="shared" si="14"/>
        <v/>
      </c>
      <c r="X125">
        <v>4.157</v>
      </c>
      <c r="Y125">
        <f t="shared" si="15"/>
        <v>0.43832391713747648</v>
      </c>
    </row>
    <row r="126" spans="7:25" x14ac:dyDescent="0.3">
      <c r="G126" t="str">
        <v>Africa</v>
      </c>
      <c r="H126" t="str">
        <v>Malawi</v>
      </c>
      <c r="I126" s="3" t="str">
        <f>IFERROR((
K126*'Best Country'!$E$12+
M126*'Best Country'!$E$15+
O126*'Best Country'!$E$18+
Q126*'Best Country'!$E$9+
S126*'Best Country'!$E$6+
U126*'Best Country'!$E$21+
W126*'Best Country'!$E$24+
Y126*'Best Country'!$E$27
)/SUM('Best Country'!$E$5:$E$28), "")</f>
        <v/>
      </c>
      <c r="J126">
        <v>0.38542736</v>
      </c>
      <c r="K126">
        <f t="shared" si="8"/>
        <v>0.62862642814707681</v>
      </c>
      <c r="L126">
        <v>0.51700000000000002</v>
      </c>
      <c r="M126">
        <f t="shared" si="9"/>
        <v>0.22089041095890413</v>
      </c>
      <c r="N126">
        <v>67.352999999999994</v>
      </c>
      <c r="O126">
        <f t="shared" si="10"/>
        <v>0.41259121751376238</v>
      </c>
      <c r="P126">
        <v>628</v>
      </c>
      <c r="Q126">
        <f t="shared" si="11"/>
        <v>1.152215326000123E-3</v>
      </c>
      <c r="R126" t="str">
        <v/>
      </c>
      <c r="S126" t="str">
        <f t="shared" si="12"/>
        <v/>
      </c>
      <c r="T126" t="str">
        <v/>
      </c>
      <c r="U126" t="str">
        <f t="shared" si="13"/>
        <v/>
      </c>
      <c r="V126" t="str">
        <v/>
      </c>
      <c r="W126" t="str">
        <f t="shared" si="14"/>
        <v/>
      </c>
      <c r="X126">
        <v>3.26</v>
      </c>
      <c r="Y126">
        <f t="shared" si="15"/>
        <v>0.29755178907721275</v>
      </c>
    </row>
    <row r="127" spans="7:25" x14ac:dyDescent="0.3">
      <c r="G127" t="str">
        <v>Asia</v>
      </c>
      <c r="H127" t="str">
        <v>Malaysia</v>
      </c>
      <c r="I127" s="3">
        <f>IFERROR((
K127*'Best Country'!$E$12+
M127*'Best Country'!$E$15+
O127*'Best Country'!$E$18+
Q127*'Best Country'!$E$9+
S127*'Best Country'!$E$6+
U127*'Best Country'!$E$21+
W127*'Best Country'!$E$24+
Y127*'Best Country'!$E$27
)/SUM('Best Country'!$E$5:$E$28), "")</f>
        <v>0.57595075698182863</v>
      </c>
      <c r="J127">
        <v>0.40668428000000001</v>
      </c>
      <c r="K127">
        <f t="shared" si="8"/>
        <v>0.57404704479654978</v>
      </c>
      <c r="L127">
        <v>0.81899999999999995</v>
      </c>
      <c r="M127">
        <f t="shared" si="9"/>
        <v>0.73801369863013688</v>
      </c>
      <c r="N127">
        <v>76.656999999999996</v>
      </c>
      <c r="O127">
        <f t="shared" si="10"/>
        <v>0.71037639226731508</v>
      </c>
      <c r="P127">
        <v>12368</v>
      </c>
      <c r="Q127">
        <f t="shared" si="11"/>
        <v>4.6242241750138267E-2</v>
      </c>
      <c r="R127">
        <v>21.5</v>
      </c>
      <c r="S127">
        <f t="shared" si="12"/>
        <v>0.87710843373493974</v>
      </c>
      <c r="T127">
        <v>51.4</v>
      </c>
      <c r="U127">
        <f t="shared" si="13"/>
        <v>0.48554033485540332</v>
      </c>
      <c r="V127">
        <v>70.7</v>
      </c>
      <c r="W127">
        <f t="shared" si="14"/>
        <v>0.3438818565400843</v>
      </c>
      <c r="X127">
        <v>5.9550000000000001</v>
      </c>
      <c r="Y127">
        <f t="shared" si="15"/>
        <v>0.72049591964846205</v>
      </c>
    </row>
    <row r="128" spans="7:25" x14ac:dyDescent="0.3">
      <c r="G128" t="str">
        <v>Asia</v>
      </c>
      <c r="H128" t="str">
        <v>Maldives</v>
      </c>
      <c r="I128" s="3" t="str">
        <f>IFERROR((
K128*'Best Country'!$E$12+
M128*'Best Country'!$E$15+
O128*'Best Country'!$E$18+
Q128*'Best Country'!$E$9+
S128*'Best Country'!$E$6+
U128*'Best Country'!$E$21+
W128*'Best Country'!$E$24+
Y128*'Best Country'!$E$27
)/SUM('Best Country'!$E$5:$E$28), "")</f>
        <v/>
      </c>
      <c r="J128">
        <v>0.29285090000000003</v>
      </c>
      <c r="K128">
        <f t="shared" si="8"/>
        <v>0.86632625011445097</v>
      </c>
      <c r="L128">
        <v>0.76600000000000001</v>
      </c>
      <c r="M128">
        <f t="shared" si="9"/>
        <v>0.64726027397260277</v>
      </c>
      <c r="N128">
        <v>81.040999999999997</v>
      </c>
      <c r="O128">
        <f t="shared" si="10"/>
        <v>0.85069133273588504</v>
      </c>
      <c r="P128">
        <v>14122</v>
      </c>
      <c r="Q128">
        <f t="shared" si="11"/>
        <v>5.2978860689485652E-2</v>
      </c>
      <c r="R128">
        <v>36.1</v>
      </c>
      <c r="S128">
        <f t="shared" si="12"/>
        <v>0.70120481927710843</v>
      </c>
      <c r="T128" t="str">
        <v/>
      </c>
      <c r="U128" t="str">
        <f t="shared" si="13"/>
        <v/>
      </c>
      <c r="V128" t="str">
        <v/>
      </c>
      <c r="W128" t="str">
        <f t="shared" si="14"/>
        <v/>
      </c>
      <c r="X128" t="str">
        <v/>
      </c>
      <c r="Y128" t="str">
        <f t="shared" si="15"/>
        <v/>
      </c>
    </row>
    <row r="129" spans="7:25" x14ac:dyDescent="0.3">
      <c r="G129" t="str">
        <v>Africa</v>
      </c>
      <c r="H129" t="str">
        <v>Mali</v>
      </c>
      <c r="I129" s="3" t="str">
        <f>IFERROR((
K129*'Best Country'!$E$12+
M129*'Best Country'!$E$15+
O129*'Best Country'!$E$18+
Q129*'Best Country'!$E$9+
S129*'Best Country'!$E$6+
U129*'Best Country'!$E$21+
W129*'Best Country'!$E$24+
Y129*'Best Country'!$E$27
)/SUM('Best Country'!$E$5:$E$28), "")</f>
        <v/>
      </c>
      <c r="J129">
        <v>0.35653594</v>
      </c>
      <c r="K129">
        <f t="shared" si="8"/>
        <v>0.70280819520086812</v>
      </c>
      <c r="L129">
        <v>0.41899999999999998</v>
      </c>
      <c r="M129">
        <f t="shared" si="9"/>
        <v>5.3082191780821873E-2</v>
      </c>
      <c r="N129">
        <v>60.439</v>
      </c>
      <c r="O129">
        <f t="shared" si="10"/>
        <v>0.19130072974011</v>
      </c>
      <c r="P129">
        <v>921</v>
      </c>
      <c r="Q129">
        <f t="shared" si="11"/>
        <v>2.2775456277269097E-3</v>
      </c>
      <c r="R129" t="str">
        <v/>
      </c>
      <c r="S129" t="str">
        <f t="shared" si="12"/>
        <v/>
      </c>
      <c r="T129" t="str">
        <v/>
      </c>
      <c r="U129" t="str">
        <f t="shared" si="13"/>
        <v/>
      </c>
      <c r="V129" t="str">
        <v/>
      </c>
      <c r="W129" t="str">
        <f t="shared" si="14"/>
        <v/>
      </c>
      <c r="X129">
        <v>4.3449999999999998</v>
      </c>
      <c r="Y129">
        <f t="shared" si="15"/>
        <v>0.46782799748901444</v>
      </c>
    </row>
    <row r="130" spans="7:25" x14ac:dyDescent="0.3">
      <c r="G130" t="str">
        <v>Europe</v>
      </c>
      <c r="H130" t="str">
        <v>Malta</v>
      </c>
      <c r="I130" s="3">
        <f>IFERROR((
K130*'Best Country'!$E$12+
M130*'Best Country'!$E$15+
O130*'Best Country'!$E$18+
Q130*'Best Country'!$E$9+
S130*'Best Country'!$E$6+
U130*'Best Country'!$E$21+
W130*'Best Country'!$E$24+
Y130*'Best Country'!$E$27
)/SUM('Best Country'!$E$5:$E$28), "")</f>
        <v>0.68433474556656648</v>
      </c>
      <c r="J130">
        <v>0.34587276</v>
      </c>
      <c r="K130">
        <f t="shared" si="8"/>
        <v>0.73018703413687913</v>
      </c>
      <c r="L130">
        <v>0.92400000000000004</v>
      </c>
      <c r="M130">
        <f t="shared" si="9"/>
        <v>0.91780821917808231</v>
      </c>
      <c r="N130">
        <v>83.299000000000007</v>
      </c>
      <c r="O130">
        <f t="shared" si="10"/>
        <v>0.92296120855204211</v>
      </c>
      <c r="P130">
        <v>47213</v>
      </c>
      <c r="Q130">
        <f t="shared" si="11"/>
        <v>0.18007205186505254</v>
      </c>
      <c r="R130">
        <v>41.7</v>
      </c>
      <c r="S130">
        <f t="shared" si="12"/>
        <v>0.63373493975903616</v>
      </c>
      <c r="T130">
        <v>57</v>
      </c>
      <c r="U130">
        <f t="shared" si="13"/>
        <v>0.57077625570776258</v>
      </c>
      <c r="V130">
        <v>52.8</v>
      </c>
      <c r="W130">
        <f t="shared" si="14"/>
        <v>0.72151898734177222</v>
      </c>
      <c r="X130">
        <v>6.3159999999999998</v>
      </c>
      <c r="Y130">
        <f t="shared" si="15"/>
        <v>0.77715003138731953</v>
      </c>
    </row>
    <row r="131" spans="7:25" x14ac:dyDescent="0.3">
      <c r="G131" t="str">
        <v>Oceania</v>
      </c>
      <c r="H131" t="str">
        <v>Marshall Islands</v>
      </c>
      <c r="I131" s="3" t="str">
        <f>IFERROR((
K131*'Best Country'!$E$12+
M131*'Best Country'!$E$15+
O131*'Best Country'!$E$18+
Q131*'Best Country'!$E$9+
S131*'Best Country'!$E$6+
U131*'Best Country'!$E$21+
W131*'Best Country'!$E$24+
Y131*'Best Country'!$E$27
)/SUM('Best Country'!$E$5:$E$28), "")</f>
        <v/>
      </c>
      <c r="J131">
        <v>0.35482943</v>
      </c>
      <c r="K131">
        <f t="shared" si="8"/>
        <v>0.70718983955393089</v>
      </c>
      <c r="L131">
        <v>0.73299999999999998</v>
      </c>
      <c r="M131">
        <f t="shared" si="9"/>
        <v>0.59075342465753422</v>
      </c>
      <c r="N131">
        <v>66.944999999999993</v>
      </c>
      <c r="O131">
        <f t="shared" si="10"/>
        <v>0.39953271028037352</v>
      </c>
      <c r="P131">
        <v>8186</v>
      </c>
      <c r="Q131">
        <f t="shared" si="11"/>
        <v>3.0180360105696552E-2</v>
      </c>
      <c r="R131" t="str">
        <v/>
      </c>
      <c r="S131" t="str">
        <f t="shared" si="12"/>
        <v/>
      </c>
      <c r="T131" t="str">
        <v/>
      </c>
      <c r="U131" t="str">
        <f t="shared" si="13"/>
        <v/>
      </c>
      <c r="V131" t="str">
        <v/>
      </c>
      <c r="W131" t="str">
        <f t="shared" si="14"/>
        <v/>
      </c>
      <c r="X131" t="str">
        <v/>
      </c>
      <c r="Y131" t="str">
        <f t="shared" si="15"/>
        <v/>
      </c>
    </row>
    <row r="132" spans="7:25" x14ac:dyDescent="0.3">
      <c r="G132" t="str">
        <v>North America</v>
      </c>
      <c r="H132" t="str">
        <v>Martinique</v>
      </c>
      <c r="I132" s="3" t="str">
        <f>IFERROR((
K132*'Best Country'!$E$12+
M132*'Best Country'!$E$15+
O132*'Best Country'!$E$18+
Q132*'Best Country'!$E$9+
S132*'Best Country'!$E$6+
U132*'Best Country'!$E$21+
W132*'Best Country'!$E$24+
Y132*'Best Country'!$E$27
)/SUM('Best Country'!$E$5:$E$28), "")</f>
        <v/>
      </c>
      <c r="J132" t="str">
        <v/>
      </c>
      <c r="K132" t="str">
        <f t="shared" si="8"/>
        <v/>
      </c>
      <c r="L132" t="str">
        <v/>
      </c>
      <c r="M132" t="str">
        <f t="shared" si="9"/>
        <v/>
      </c>
      <c r="N132" t="str">
        <v/>
      </c>
      <c r="O132" t="str">
        <f t="shared" si="10"/>
        <v/>
      </c>
      <c r="P132" t="str">
        <v/>
      </c>
      <c r="Q132" t="str">
        <f t="shared" si="11"/>
        <v/>
      </c>
      <c r="R132" t="str">
        <v/>
      </c>
      <c r="S132" t="str">
        <f t="shared" si="12"/>
        <v/>
      </c>
      <c r="T132" t="str">
        <v/>
      </c>
      <c r="U132" t="str">
        <f t="shared" si="13"/>
        <v/>
      </c>
      <c r="V132" t="str">
        <v/>
      </c>
      <c r="W132" t="str">
        <f t="shared" si="14"/>
        <v/>
      </c>
      <c r="X132" t="str">
        <v/>
      </c>
      <c r="Y132" t="str">
        <f t="shared" si="15"/>
        <v/>
      </c>
    </row>
    <row r="133" spans="7:25" x14ac:dyDescent="0.3">
      <c r="G133" t="str">
        <v>Africa</v>
      </c>
      <c r="H133" t="str">
        <v>Mauritania</v>
      </c>
      <c r="I133" s="3" t="str">
        <f>IFERROR((
K133*'Best Country'!$E$12+
M133*'Best Country'!$E$15+
O133*'Best Country'!$E$18+
Q133*'Best Country'!$E$9+
S133*'Best Country'!$E$6+
U133*'Best Country'!$E$21+
W133*'Best Country'!$E$24+
Y133*'Best Country'!$E$27
)/SUM('Best Country'!$E$5:$E$28), "")</f>
        <v/>
      </c>
      <c r="J133">
        <v>0.31996748000000003</v>
      </c>
      <c r="K133">
        <f t="shared" si="8"/>
        <v>0.79670157189318325</v>
      </c>
      <c r="L133">
        <v>0.56299999999999994</v>
      </c>
      <c r="M133">
        <f t="shared" si="9"/>
        <v>0.29965753424657526</v>
      </c>
      <c r="N133">
        <v>68.483999999999995</v>
      </c>
      <c r="O133">
        <f t="shared" si="10"/>
        <v>0.44879016771220048</v>
      </c>
      <c r="P133">
        <v>2158</v>
      </c>
      <c r="Q133">
        <f t="shared" si="11"/>
        <v>7.0285134886007494E-3</v>
      </c>
      <c r="R133" t="str">
        <v/>
      </c>
      <c r="S133" t="str">
        <f t="shared" si="12"/>
        <v/>
      </c>
      <c r="T133" t="str">
        <v/>
      </c>
      <c r="U133" t="str">
        <f t="shared" si="13"/>
        <v/>
      </c>
      <c r="V133" t="str">
        <v/>
      </c>
      <c r="W133" t="str">
        <f t="shared" si="14"/>
        <v/>
      </c>
      <c r="X133">
        <v>4.5419999999999998</v>
      </c>
      <c r="Y133">
        <f t="shared" si="15"/>
        <v>0.49874450721908348</v>
      </c>
    </row>
    <row r="134" spans="7:25" x14ac:dyDescent="0.3">
      <c r="G134" t="str">
        <v>Africa</v>
      </c>
      <c r="H134" t="str">
        <v>Mauritius</v>
      </c>
      <c r="I134" s="3" t="str">
        <f>IFERROR((
K134*'Best Country'!$E$12+
M134*'Best Country'!$E$15+
O134*'Best Country'!$E$18+
Q134*'Best Country'!$E$9+
S134*'Best Country'!$E$6+
U134*'Best Country'!$E$21+
W134*'Best Country'!$E$24+
Y134*'Best Country'!$E$27
)/SUM('Best Country'!$E$5:$E$28), "")</f>
        <v/>
      </c>
      <c r="J134">
        <v>0.36761206000000002</v>
      </c>
      <c r="K134">
        <f t="shared" ref="K134:K197" si="16">IFERROR(1-(J134-J$3)/(J$2-J$3), "")</f>
        <v>0.67436908927600037</v>
      </c>
      <c r="L134">
        <v>0.80600000000000005</v>
      </c>
      <c r="M134">
        <f t="shared" ref="M134:M197" si="17">IFERROR((L134-L$3)/(L$2-L$3), "")</f>
        <v>0.71575342465753433</v>
      </c>
      <c r="N134">
        <v>74.926000000000002</v>
      </c>
      <c r="O134">
        <f t="shared" ref="O134:O197" si="18">IFERROR((N134-N$3)/(N$2-N$3), "")</f>
        <v>0.65497375496095245</v>
      </c>
      <c r="P134">
        <v>12217</v>
      </c>
      <c r="Q134">
        <f t="shared" ref="Q134:Q197" si="19">IFERROR((P134-P$3)/(P$2-P$3), "")</f>
        <v>4.566229336938487E-2</v>
      </c>
      <c r="R134">
        <v>25.5</v>
      </c>
      <c r="S134">
        <f t="shared" ref="S134:S197" si="20">IFERROR(1-(R134-R$3)/(R$2-R$3), "")</f>
        <v>0.82891566265060246</v>
      </c>
      <c r="T134" t="str">
        <v/>
      </c>
      <c r="U134" t="str">
        <f t="shared" ref="U134:U197" si="21">IFERROR((T134-T$3)/(T$2-T$3), "")</f>
        <v/>
      </c>
      <c r="V134" t="str">
        <v/>
      </c>
      <c r="W134" t="str">
        <f t="shared" ref="W134:W197" si="22">IFERROR(1-(V134-V$3)/(V$2-V$3), "")</f>
        <v/>
      </c>
      <c r="X134">
        <v>5.8319999999999999</v>
      </c>
      <c r="Y134">
        <f t="shared" ref="Y134:Y197" si="23">IFERROR((X134-X$3)/(X$2-X$3), "")</f>
        <v>0.70119271814187067</v>
      </c>
    </row>
    <row r="135" spans="7:25" x14ac:dyDescent="0.3">
      <c r="G135" t="str">
        <v>Africa</v>
      </c>
      <c r="H135" t="str">
        <v>Mayotte</v>
      </c>
      <c r="I135" s="3" t="str">
        <f>IFERROR((
K135*'Best Country'!$E$12+
M135*'Best Country'!$E$15+
O135*'Best Country'!$E$18+
Q135*'Best Country'!$E$9+
S135*'Best Country'!$E$6+
U135*'Best Country'!$E$21+
W135*'Best Country'!$E$24+
Y135*'Best Country'!$E$27
)/SUM('Best Country'!$E$5:$E$28), "")</f>
        <v/>
      </c>
      <c r="J135" t="str">
        <v/>
      </c>
      <c r="K135" t="str">
        <f t="shared" si="16"/>
        <v/>
      </c>
      <c r="L135" t="str">
        <v/>
      </c>
      <c r="M135" t="str">
        <f t="shared" si="17"/>
        <v/>
      </c>
      <c r="N135" t="str">
        <v/>
      </c>
      <c r="O135" t="str">
        <f t="shared" si="18"/>
        <v/>
      </c>
      <c r="P135" t="str">
        <v/>
      </c>
      <c r="Q135" t="str">
        <f t="shared" si="19"/>
        <v/>
      </c>
      <c r="R135" t="str">
        <v/>
      </c>
      <c r="S135" t="str">
        <f t="shared" si="20"/>
        <v/>
      </c>
      <c r="T135" t="str">
        <v/>
      </c>
      <c r="U135" t="str">
        <f t="shared" si="21"/>
        <v/>
      </c>
      <c r="V135" t="str">
        <v/>
      </c>
      <c r="W135" t="str">
        <f t="shared" si="22"/>
        <v/>
      </c>
      <c r="X135" t="str">
        <v/>
      </c>
      <c r="Y135" t="str">
        <f t="shared" si="23"/>
        <v/>
      </c>
    </row>
    <row r="136" spans="7:25" x14ac:dyDescent="0.3">
      <c r="G136" t="str">
        <v>North America</v>
      </c>
      <c r="H136" t="str">
        <v>Mexico</v>
      </c>
      <c r="I136" s="3">
        <f>IFERROR((
K136*'Best Country'!$E$12+
M136*'Best Country'!$E$15+
O136*'Best Country'!$E$18+
Q136*'Best Country'!$E$9+
S136*'Best Country'!$E$6+
U136*'Best Country'!$E$21+
W136*'Best Country'!$E$24+
Y136*'Best Country'!$E$27
)/SUM('Best Country'!$E$5:$E$28), "")</f>
        <v>0.56807650504276497</v>
      </c>
      <c r="J136">
        <v>0.43454006000000001</v>
      </c>
      <c r="K136">
        <f t="shared" si="16"/>
        <v>0.50252439263678539</v>
      </c>
      <c r="L136">
        <v>0.78900000000000003</v>
      </c>
      <c r="M136">
        <f t="shared" si="17"/>
        <v>0.68664383561643849</v>
      </c>
      <c r="N136">
        <v>75.069000000000003</v>
      </c>
      <c r="O136">
        <f t="shared" si="18"/>
        <v>0.65955063372167455</v>
      </c>
      <c r="P136">
        <v>12828</v>
      </c>
      <c r="Q136">
        <f t="shared" si="19"/>
        <v>4.8008971916671785E-2</v>
      </c>
      <c r="R136">
        <v>28</v>
      </c>
      <c r="S136">
        <f t="shared" si="20"/>
        <v>0.79879518072289157</v>
      </c>
      <c r="T136">
        <v>46.8</v>
      </c>
      <c r="U136">
        <f t="shared" si="21"/>
        <v>0.41552511415525106</v>
      </c>
      <c r="V136">
        <v>72.7</v>
      </c>
      <c r="W136">
        <f t="shared" si="22"/>
        <v>0.30168776371308015</v>
      </c>
      <c r="X136">
        <v>6.9790000000000001</v>
      </c>
      <c r="Y136">
        <f t="shared" si="23"/>
        <v>0.8811989956057753</v>
      </c>
    </row>
    <row r="137" spans="7:25" x14ac:dyDescent="0.3">
      <c r="G137" t="str">
        <v>Oceania</v>
      </c>
      <c r="H137" t="str">
        <v>Micronesia</v>
      </c>
      <c r="I137" s="3" t="str">
        <f>IFERROR((
K137*'Best Country'!$E$12+
M137*'Best Country'!$E$15+
O137*'Best Country'!$E$18+
Q137*'Best Country'!$E$9+
S137*'Best Country'!$E$6+
U137*'Best Country'!$E$21+
W137*'Best Country'!$E$24+
Y137*'Best Country'!$E$27
)/SUM('Best Country'!$E$5:$E$28), "")</f>
        <v/>
      </c>
      <c r="J137">
        <v>0.40052038000000001</v>
      </c>
      <c r="K137">
        <f t="shared" si="16"/>
        <v>0.58987350794522386</v>
      </c>
      <c r="L137">
        <v>0.61499999999999999</v>
      </c>
      <c r="M137">
        <f t="shared" si="17"/>
        <v>0.3886986301369863</v>
      </c>
      <c r="N137">
        <v>67.197999999999993</v>
      </c>
      <c r="O137">
        <f t="shared" si="18"/>
        <v>0.40763026501088179</v>
      </c>
      <c r="P137">
        <v>4398</v>
      </c>
      <c r="Q137">
        <f t="shared" si="19"/>
        <v>1.5631721256068334E-2</v>
      </c>
      <c r="R137" t="str">
        <v/>
      </c>
      <c r="S137" t="str">
        <f t="shared" si="20"/>
        <v/>
      </c>
      <c r="T137" t="str">
        <v/>
      </c>
      <c r="U137" t="str">
        <f t="shared" si="21"/>
        <v/>
      </c>
      <c r="V137" t="str">
        <v/>
      </c>
      <c r="W137" t="str">
        <f t="shared" si="22"/>
        <v/>
      </c>
      <c r="X137" t="str">
        <v/>
      </c>
      <c r="Y137" t="str">
        <f t="shared" si="23"/>
        <v/>
      </c>
    </row>
    <row r="138" spans="7:25" x14ac:dyDescent="0.3">
      <c r="G138" t="str">
        <v>Europe</v>
      </c>
      <c r="H138" t="str">
        <v>Moldova</v>
      </c>
      <c r="I138" s="3" t="str">
        <f>IFERROR((
K138*'Best Country'!$E$12+
M138*'Best Country'!$E$15+
O138*'Best Country'!$E$18+
Q138*'Best Country'!$E$9+
S138*'Best Country'!$E$6+
U138*'Best Country'!$E$21+
W138*'Best Country'!$E$24+
Y138*'Best Country'!$E$27
)/SUM('Best Country'!$E$5:$E$28), "")</f>
        <v/>
      </c>
      <c r="J138">
        <v>0.25864446000000002</v>
      </c>
      <c r="K138">
        <f t="shared" si="16"/>
        <v>0.95415489141416876</v>
      </c>
      <c r="L138">
        <v>0.78500000000000003</v>
      </c>
      <c r="M138">
        <f t="shared" si="17"/>
        <v>0.67979452054794531</v>
      </c>
      <c r="N138">
        <v>71.197999999999993</v>
      </c>
      <c r="O138">
        <f t="shared" si="18"/>
        <v>0.53565484573037991</v>
      </c>
      <c r="P138">
        <v>6496</v>
      </c>
      <c r="Q138">
        <f t="shared" si="19"/>
        <v>2.3689547102562526E-2</v>
      </c>
      <c r="R138">
        <v>25.3</v>
      </c>
      <c r="S138">
        <f t="shared" si="20"/>
        <v>0.83132530120481929</v>
      </c>
      <c r="T138" t="str">
        <v/>
      </c>
      <c r="U138" t="str">
        <f t="shared" si="21"/>
        <v/>
      </c>
      <c r="V138" t="str">
        <v/>
      </c>
      <c r="W138" t="str">
        <f t="shared" si="22"/>
        <v/>
      </c>
      <c r="X138">
        <v>5.819</v>
      </c>
      <c r="Y138">
        <f t="shared" si="23"/>
        <v>0.69915254237288138</v>
      </c>
    </row>
    <row r="139" spans="7:25" x14ac:dyDescent="0.3">
      <c r="G139" t="str">
        <v>Europe</v>
      </c>
      <c r="H139" t="str">
        <v>Monaco</v>
      </c>
      <c r="I139" s="3" t="str">
        <f>IFERROR((
K139*'Best Country'!$E$12+
M139*'Best Country'!$E$15+
O139*'Best Country'!$E$18+
Q139*'Best Country'!$E$9+
S139*'Best Country'!$E$6+
U139*'Best Country'!$E$21+
W139*'Best Country'!$E$24+
Y139*'Best Country'!$E$27
)/SUM('Best Country'!$E$5:$E$28), "")</f>
        <v/>
      </c>
      <c r="J139" t="str">
        <v/>
      </c>
      <c r="K139" t="str">
        <f t="shared" si="16"/>
        <v/>
      </c>
      <c r="L139" t="str">
        <v/>
      </c>
      <c r="M139" t="str">
        <f t="shared" si="17"/>
        <v/>
      </c>
      <c r="N139" t="str">
        <v/>
      </c>
      <c r="O139" t="str">
        <f t="shared" si="18"/>
        <v/>
      </c>
      <c r="P139">
        <v>260696</v>
      </c>
      <c r="Q139">
        <f t="shared" si="19"/>
        <v>1</v>
      </c>
      <c r="R139" t="str">
        <v/>
      </c>
      <c r="S139" t="str">
        <f t="shared" si="20"/>
        <v/>
      </c>
      <c r="T139" t="str">
        <v/>
      </c>
      <c r="U139" t="str">
        <f t="shared" si="21"/>
        <v/>
      </c>
      <c r="V139" t="str">
        <v/>
      </c>
      <c r="W139" t="str">
        <f t="shared" si="22"/>
        <v/>
      </c>
      <c r="X139" t="str">
        <v/>
      </c>
      <c r="Y139" t="str">
        <f t="shared" si="23"/>
        <v/>
      </c>
    </row>
    <row r="140" spans="7:25" x14ac:dyDescent="0.3">
      <c r="G140" t="str">
        <v>Asia</v>
      </c>
      <c r="H140" t="str">
        <v>Mongolia</v>
      </c>
      <c r="I140" s="3" t="str">
        <f>IFERROR((
K140*'Best Country'!$E$12+
M140*'Best Country'!$E$15+
O140*'Best Country'!$E$18+
Q140*'Best Country'!$E$9+
S140*'Best Country'!$E$6+
U140*'Best Country'!$E$21+
W140*'Best Country'!$E$24+
Y140*'Best Country'!$E$27
)/SUM('Best Country'!$E$5:$E$28), "")</f>
        <v/>
      </c>
      <c r="J140">
        <v>0.31416475999999999</v>
      </c>
      <c r="K140">
        <f t="shared" si="16"/>
        <v>0.8116006673103825</v>
      </c>
      <c r="L140">
        <v>0.747</v>
      </c>
      <c r="M140">
        <f t="shared" si="17"/>
        <v>0.61472602739726023</v>
      </c>
      <c r="N140">
        <v>71.733999999999995</v>
      </c>
      <c r="O140">
        <f t="shared" si="18"/>
        <v>0.5528101395467927</v>
      </c>
      <c r="P140">
        <v>7337</v>
      </c>
      <c r="Q140">
        <f t="shared" si="19"/>
        <v>2.6919590733116203E-2</v>
      </c>
      <c r="R140">
        <v>23.2</v>
      </c>
      <c r="S140">
        <f t="shared" si="20"/>
        <v>0.8566265060240964</v>
      </c>
      <c r="T140" t="str">
        <v/>
      </c>
      <c r="U140" t="str">
        <f t="shared" si="21"/>
        <v/>
      </c>
      <c r="V140" t="str">
        <v/>
      </c>
      <c r="W140" t="str">
        <f t="shared" si="22"/>
        <v/>
      </c>
      <c r="X140">
        <v>5.8330000000000002</v>
      </c>
      <c r="Y140">
        <f t="shared" si="23"/>
        <v>0.7013496547394853</v>
      </c>
    </row>
    <row r="141" spans="7:25" x14ac:dyDescent="0.3">
      <c r="G141" t="str">
        <v>Europe</v>
      </c>
      <c r="H141" t="str">
        <v>Montenegro</v>
      </c>
      <c r="I141" s="3" t="str">
        <f>IFERROR((
K141*'Best Country'!$E$12+
M141*'Best Country'!$E$15+
O141*'Best Country'!$E$18+
Q141*'Best Country'!$E$9+
S141*'Best Country'!$E$6+
U141*'Best Country'!$E$21+
W141*'Best Country'!$E$24+
Y141*'Best Country'!$E$27
)/SUM('Best Country'!$E$5:$E$28), "")</f>
        <v/>
      </c>
      <c r="J141">
        <v>0.34296975000000002</v>
      </c>
      <c r="K141">
        <f t="shared" si="16"/>
        <v>0.73764081839444851</v>
      </c>
      <c r="L141">
        <v>0.86199999999999999</v>
      </c>
      <c r="M141">
        <f t="shared" si="17"/>
        <v>0.81164383561643838</v>
      </c>
      <c r="N141">
        <v>77.087000000000003</v>
      </c>
      <c r="O141">
        <f t="shared" si="18"/>
        <v>0.72413903469466134</v>
      </c>
      <c r="P141">
        <v>13532</v>
      </c>
      <c r="Q141">
        <f t="shared" si="19"/>
        <v>5.0712837215018743E-2</v>
      </c>
      <c r="R141">
        <v>29.7</v>
      </c>
      <c r="S141">
        <f t="shared" si="20"/>
        <v>0.77831325301204823</v>
      </c>
      <c r="T141" t="str">
        <v/>
      </c>
      <c r="U141" t="str">
        <f t="shared" si="21"/>
        <v/>
      </c>
      <c r="V141" t="str">
        <v/>
      </c>
      <c r="W141" t="str">
        <f t="shared" si="22"/>
        <v/>
      </c>
      <c r="X141">
        <v>5.8769999999999998</v>
      </c>
      <c r="Y141">
        <f t="shared" si="23"/>
        <v>0.70825486503452606</v>
      </c>
    </row>
    <row r="142" spans="7:25" x14ac:dyDescent="0.3">
      <c r="G142" t="str">
        <v>North America</v>
      </c>
      <c r="H142" t="str">
        <v>Montserrat</v>
      </c>
      <c r="I142" s="3" t="str">
        <f>IFERROR((
K142*'Best Country'!$E$12+
M142*'Best Country'!$E$15+
O142*'Best Country'!$E$18+
Q142*'Best Country'!$E$9+
S142*'Best Country'!$E$6+
U142*'Best Country'!$E$21+
W142*'Best Country'!$E$24+
Y142*'Best Country'!$E$27
)/SUM('Best Country'!$E$5:$E$28), "")</f>
        <v/>
      </c>
      <c r="J142" t="str">
        <v/>
      </c>
      <c r="K142" t="str">
        <f t="shared" si="16"/>
        <v/>
      </c>
      <c r="L142" t="str">
        <v/>
      </c>
      <c r="M142" t="str">
        <f t="shared" si="17"/>
        <v/>
      </c>
      <c r="N142" t="str">
        <v/>
      </c>
      <c r="O142" t="str">
        <f t="shared" si="18"/>
        <v/>
      </c>
      <c r="P142">
        <v>18451</v>
      </c>
      <c r="Q142">
        <f t="shared" si="19"/>
        <v>6.9605327843667422E-2</v>
      </c>
      <c r="R142" t="str">
        <v/>
      </c>
      <c r="S142" t="str">
        <f t="shared" si="20"/>
        <v/>
      </c>
      <c r="T142" t="str">
        <v/>
      </c>
      <c r="U142" t="str">
        <f t="shared" si="21"/>
        <v/>
      </c>
      <c r="V142" t="str">
        <v/>
      </c>
      <c r="W142" t="str">
        <f t="shared" si="22"/>
        <v/>
      </c>
      <c r="X142" t="str">
        <v/>
      </c>
      <c r="Y142" t="str">
        <f t="shared" si="23"/>
        <v/>
      </c>
    </row>
    <row r="143" spans="7:25" x14ac:dyDescent="0.3">
      <c r="G143" t="str">
        <v>Africa</v>
      </c>
      <c r="H143" t="str">
        <v>Morocco</v>
      </c>
      <c r="I143" s="3">
        <f>IFERROR((
K143*'Best Country'!$E$12+
M143*'Best Country'!$E$15+
O143*'Best Country'!$E$18+
Q143*'Best Country'!$E$9+
S143*'Best Country'!$E$6+
U143*'Best Country'!$E$21+
W143*'Best Country'!$E$24+
Y143*'Best Country'!$E$27
)/SUM('Best Country'!$E$5:$E$28), "")</f>
        <v>0.531678634467043</v>
      </c>
      <c r="J143">
        <v>0.39548506999999999</v>
      </c>
      <c r="K143">
        <f t="shared" si="16"/>
        <v>0.60280219727456896</v>
      </c>
      <c r="L143">
        <v>0.71</v>
      </c>
      <c r="M143">
        <f t="shared" si="17"/>
        <v>0.55136986301369861</v>
      </c>
      <c r="N143">
        <v>75.313000000000002</v>
      </c>
      <c r="O143">
        <f t="shared" si="18"/>
        <v>0.66736013314556397</v>
      </c>
      <c r="P143">
        <v>4315</v>
      </c>
      <c r="Q143">
        <f t="shared" si="19"/>
        <v>1.5312941682541633E-2</v>
      </c>
      <c r="R143">
        <v>20.5</v>
      </c>
      <c r="S143">
        <f t="shared" si="20"/>
        <v>0.88915662650602412</v>
      </c>
      <c r="T143">
        <v>52.5</v>
      </c>
      <c r="U143">
        <f t="shared" si="21"/>
        <v>0.50228310502283102</v>
      </c>
      <c r="V143">
        <v>47</v>
      </c>
      <c r="W143">
        <f t="shared" si="22"/>
        <v>0.84388185654008441</v>
      </c>
      <c r="X143">
        <v>4.6219999999999999</v>
      </c>
      <c r="Y143">
        <f t="shared" si="23"/>
        <v>0.51129943502824859</v>
      </c>
    </row>
    <row r="144" spans="7:25" x14ac:dyDescent="0.3">
      <c r="G144" t="str">
        <v>Africa</v>
      </c>
      <c r="H144" t="str">
        <v>Mozambique</v>
      </c>
      <c r="I144" s="3" t="str">
        <f>IFERROR((
K144*'Best Country'!$E$12+
M144*'Best Country'!$E$15+
O144*'Best Country'!$E$18+
Q144*'Best Country'!$E$9+
S144*'Best Country'!$E$6+
U144*'Best Country'!$E$21+
W144*'Best Country'!$E$24+
Y144*'Best Country'!$E$27
)/SUM('Best Country'!$E$5:$E$28), "")</f>
        <v/>
      </c>
      <c r="J144">
        <v>0.50263760000000002</v>
      </c>
      <c r="K144">
        <f t="shared" si="16"/>
        <v>0.32767677873562573</v>
      </c>
      <c r="L144">
        <v>0.49299999999999999</v>
      </c>
      <c r="M144">
        <f t="shared" si="17"/>
        <v>0.17979452054794517</v>
      </c>
      <c r="N144">
        <v>63.610999999999997</v>
      </c>
      <c r="O144">
        <f t="shared" si="18"/>
        <v>0.29282422225067195</v>
      </c>
      <c r="P144">
        <v>667</v>
      </c>
      <c r="Q144">
        <f t="shared" si="19"/>
        <v>1.3020033183801388E-3</v>
      </c>
      <c r="R144">
        <v>25.8</v>
      </c>
      <c r="S144">
        <f t="shared" si="20"/>
        <v>0.82530120481927716</v>
      </c>
      <c r="T144" t="str">
        <v/>
      </c>
      <c r="U144" t="str">
        <f t="shared" si="21"/>
        <v/>
      </c>
      <c r="V144" t="str">
        <v/>
      </c>
      <c r="W144" t="str">
        <f t="shared" si="22"/>
        <v/>
      </c>
      <c r="X144">
        <v>5.19</v>
      </c>
      <c r="Y144">
        <f t="shared" si="23"/>
        <v>0.60043942247332083</v>
      </c>
    </row>
    <row r="145" spans="7:25" x14ac:dyDescent="0.3">
      <c r="G145" t="str">
        <v>Asia</v>
      </c>
      <c r="H145" t="str">
        <v>Myanmar</v>
      </c>
      <c r="I145" s="3" t="str">
        <f>IFERROR((
K145*'Best Country'!$E$12+
M145*'Best Country'!$E$15+
O145*'Best Country'!$E$18+
Q145*'Best Country'!$E$9+
S145*'Best Country'!$E$6+
U145*'Best Country'!$E$21+
W145*'Best Country'!$E$24+
Y145*'Best Country'!$E$27
)/SUM('Best Country'!$E$5:$E$28), "")</f>
        <v/>
      </c>
      <c r="J145">
        <v>0.30696869999999998</v>
      </c>
      <c r="K145">
        <f t="shared" si="16"/>
        <v>0.83007731008616525</v>
      </c>
      <c r="L145">
        <v>0.60899999999999999</v>
      </c>
      <c r="M145">
        <f t="shared" si="17"/>
        <v>0.37842465753424653</v>
      </c>
      <c r="N145">
        <v>66.888999999999996</v>
      </c>
      <c r="O145">
        <f t="shared" si="18"/>
        <v>0.39774036615030062</v>
      </c>
      <c r="P145">
        <v>1184</v>
      </c>
      <c r="Q145">
        <f t="shared" si="19"/>
        <v>3.2876543968536841E-3</v>
      </c>
      <c r="R145" t="str">
        <v/>
      </c>
      <c r="S145" t="str">
        <f t="shared" si="20"/>
        <v/>
      </c>
      <c r="T145" t="str">
        <v/>
      </c>
      <c r="U145" t="str">
        <f t="shared" si="21"/>
        <v/>
      </c>
      <c r="V145" t="str">
        <v/>
      </c>
      <c r="W145" t="str">
        <f t="shared" si="22"/>
        <v/>
      </c>
      <c r="X145">
        <v>4.3209999999999997</v>
      </c>
      <c r="Y145">
        <f t="shared" si="23"/>
        <v>0.46406151914626487</v>
      </c>
    </row>
    <row r="146" spans="7:25" x14ac:dyDescent="0.3">
      <c r="G146" t="str">
        <v>Africa</v>
      </c>
      <c r="H146" t="str">
        <v>Namibia</v>
      </c>
      <c r="I146" s="3" t="str">
        <f>IFERROR((
K146*'Best Country'!$E$12+
M146*'Best Country'!$E$15+
O146*'Best Country'!$E$18+
Q146*'Best Country'!$E$9+
S146*'Best Country'!$E$6+
U146*'Best Country'!$E$21+
W146*'Best Country'!$E$24+
Y146*'Best Country'!$E$27
)/SUM('Best Country'!$E$5:$E$28), "")</f>
        <v/>
      </c>
      <c r="J146">
        <v>0.59066609999999997</v>
      </c>
      <c r="K146">
        <f t="shared" si="16"/>
        <v>0.10165432358822657</v>
      </c>
      <c r="L146">
        <v>0.66500000000000004</v>
      </c>
      <c r="M146">
        <f t="shared" si="17"/>
        <v>0.47431506849315075</v>
      </c>
      <c r="N146">
        <v>67.385000000000005</v>
      </c>
      <c r="O146">
        <f t="shared" si="18"/>
        <v>0.41361541415951869</v>
      </c>
      <c r="P146">
        <v>4596</v>
      </c>
      <c r="Q146">
        <f t="shared" si="19"/>
        <v>1.6392183371228414E-2</v>
      </c>
      <c r="R146">
        <v>23.5</v>
      </c>
      <c r="S146">
        <f t="shared" si="20"/>
        <v>0.8530120481927711</v>
      </c>
      <c r="T146" t="str">
        <v/>
      </c>
      <c r="U146" t="str">
        <f t="shared" si="21"/>
        <v/>
      </c>
      <c r="V146" t="str">
        <v/>
      </c>
      <c r="W146" t="str">
        <f t="shared" si="22"/>
        <v/>
      </c>
      <c r="X146">
        <v>4.9109999999999996</v>
      </c>
      <c r="Y146">
        <f t="shared" si="23"/>
        <v>0.55665411173885748</v>
      </c>
    </row>
    <row r="147" spans="7:25" x14ac:dyDescent="0.3">
      <c r="G147" t="str">
        <v>Oceania</v>
      </c>
      <c r="H147" t="str">
        <v>Nauru</v>
      </c>
      <c r="I147" s="3" t="str">
        <f>IFERROR((
K147*'Best Country'!$E$12+
M147*'Best Country'!$E$15+
O147*'Best Country'!$E$18+
Q147*'Best Country'!$E$9+
S147*'Best Country'!$E$6+
U147*'Best Country'!$E$21+
W147*'Best Country'!$E$24+
Y147*'Best Country'!$E$27
)/SUM('Best Country'!$E$5:$E$28), "")</f>
        <v/>
      </c>
      <c r="J147">
        <v>0.32361580000000001</v>
      </c>
      <c r="K147">
        <f t="shared" si="16"/>
        <v>0.78733412562790139</v>
      </c>
      <c r="L147">
        <v>0.70299999999999996</v>
      </c>
      <c r="M147">
        <f t="shared" si="17"/>
        <v>0.53938356164383561</v>
      </c>
      <c r="N147">
        <v>62.109000000000002</v>
      </c>
      <c r="O147">
        <f t="shared" si="18"/>
        <v>0.24475099219050053</v>
      </c>
      <c r="P147">
        <v>14054</v>
      </c>
      <c r="Q147">
        <f t="shared" si="19"/>
        <v>5.2717691882258957E-2</v>
      </c>
      <c r="R147" t="str">
        <v/>
      </c>
      <c r="S147" t="str">
        <f t="shared" si="20"/>
        <v/>
      </c>
      <c r="T147" t="str">
        <v/>
      </c>
      <c r="U147" t="str">
        <f t="shared" si="21"/>
        <v/>
      </c>
      <c r="V147" t="str">
        <v/>
      </c>
      <c r="W147" t="str">
        <f t="shared" si="22"/>
        <v/>
      </c>
      <c r="X147" t="str">
        <v/>
      </c>
      <c r="Y147" t="str">
        <f t="shared" si="23"/>
        <v/>
      </c>
    </row>
    <row r="148" spans="7:25" x14ac:dyDescent="0.3">
      <c r="G148" t="str">
        <v>Asia</v>
      </c>
      <c r="H148" t="str">
        <v>Nepal</v>
      </c>
      <c r="I148" s="3" t="str">
        <f>IFERROR((
K148*'Best Country'!$E$12+
M148*'Best Country'!$E$15+
O148*'Best Country'!$E$18+
Q148*'Best Country'!$E$9+
S148*'Best Country'!$E$6+
U148*'Best Country'!$E$21+
W148*'Best Country'!$E$24+
Y148*'Best Country'!$E$27
)/SUM('Best Country'!$E$5:$E$28), "")</f>
        <v/>
      </c>
      <c r="J148">
        <v>0.30020264000000002</v>
      </c>
      <c r="K148">
        <f t="shared" si="16"/>
        <v>0.84744988252434839</v>
      </c>
      <c r="L148">
        <v>0.622</v>
      </c>
      <c r="M148">
        <f t="shared" si="17"/>
        <v>0.40068493150684931</v>
      </c>
      <c r="N148">
        <v>70.353999999999999</v>
      </c>
      <c r="O148">
        <f t="shared" si="18"/>
        <v>0.50864165919856597</v>
      </c>
      <c r="P148">
        <v>1556</v>
      </c>
      <c r="Q148">
        <f t="shared" si="19"/>
        <v>4.7164014010938364E-3</v>
      </c>
      <c r="R148">
        <v>14.2</v>
      </c>
      <c r="S148">
        <f t="shared" si="20"/>
        <v>0.96506024096385545</v>
      </c>
      <c r="T148" t="str">
        <v/>
      </c>
      <c r="U148" t="str">
        <f t="shared" si="21"/>
        <v/>
      </c>
      <c r="V148" t="str">
        <v/>
      </c>
      <c r="W148" t="str">
        <f t="shared" si="22"/>
        <v/>
      </c>
      <c r="X148">
        <v>5.3109999999999999</v>
      </c>
      <c r="Y148">
        <f t="shared" si="23"/>
        <v>0.61942875078468296</v>
      </c>
    </row>
    <row r="149" spans="7:25" x14ac:dyDescent="0.3">
      <c r="G149" t="str">
        <v>Europe</v>
      </c>
      <c r="H149" t="str">
        <v>Netherlands</v>
      </c>
      <c r="I149" s="3">
        <f>IFERROR((
K149*'Best Country'!$E$12+
M149*'Best Country'!$E$15+
O149*'Best Country'!$E$18+
Q149*'Best Country'!$E$9+
S149*'Best Country'!$E$6+
U149*'Best Country'!$E$21+
W149*'Best Country'!$E$24+
Y149*'Best Country'!$E$27
)/SUM('Best Country'!$E$5:$E$28), "")</f>
        <v>0.72509316650406153</v>
      </c>
      <c r="J149">
        <v>0.25743870000000002</v>
      </c>
      <c r="K149">
        <f t="shared" si="16"/>
        <v>0.95725080734501533</v>
      </c>
      <c r="L149">
        <v>0.95499999999999996</v>
      </c>
      <c r="M149">
        <f t="shared" si="17"/>
        <v>0.97089041095890405</v>
      </c>
      <c r="N149">
        <v>82.158000000000001</v>
      </c>
      <c r="O149">
        <f t="shared" si="18"/>
        <v>0.88644219690180504</v>
      </c>
      <c r="P149">
        <v>69331</v>
      </c>
      <c r="Q149">
        <f t="shared" si="19"/>
        <v>0.26502104713328828</v>
      </c>
      <c r="R149">
        <v>54.7</v>
      </c>
      <c r="S149">
        <f t="shared" si="20"/>
        <v>0.47710843373493972</v>
      </c>
      <c r="T149">
        <v>74.2</v>
      </c>
      <c r="U149">
        <f t="shared" si="21"/>
        <v>0.83257229832572299</v>
      </c>
      <c r="V149">
        <v>80.599999999999994</v>
      </c>
      <c r="W149">
        <f t="shared" si="22"/>
        <v>0.13502109704641363</v>
      </c>
      <c r="X149">
        <v>7.306</v>
      </c>
      <c r="Y149">
        <f t="shared" si="23"/>
        <v>0.93251726302573767</v>
      </c>
    </row>
    <row r="150" spans="7:25" x14ac:dyDescent="0.3">
      <c r="G150" t="str">
        <v>Oceania</v>
      </c>
      <c r="H150" t="str">
        <v>New Caledonia</v>
      </c>
      <c r="I150" s="3" t="str">
        <f>IFERROR((
K150*'Best Country'!$E$12+
M150*'Best Country'!$E$15+
O150*'Best Country'!$E$18+
Q150*'Best Country'!$E$9+
S150*'Best Country'!$E$6+
U150*'Best Country'!$E$21+
W150*'Best Country'!$E$24+
Y150*'Best Country'!$E$27
)/SUM('Best Country'!$E$5:$E$28), "")</f>
        <v/>
      </c>
      <c r="J150" t="str">
        <v/>
      </c>
      <c r="K150" t="str">
        <f t="shared" si="16"/>
        <v/>
      </c>
      <c r="L150" t="str">
        <v/>
      </c>
      <c r="M150" t="str">
        <f t="shared" si="17"/>
        <v/>
      </c>
      <c r="N150" t="str">
        <v/>
      </c>
      <c r="O150" t="str">
        <f t="shared" si="18"/>
        <v/>
      </c>
      <c r="P150">
        <v>34334</v>
      </c>
      <c r="Q150">
        <f t="shared" si="19"/>
        <v>0.13060744791986725</v>
      </c>
      <c r="R150" t="str">
        <v/>
      </c>
      <c r="S150" t="str">
        <f t="shared" si="20"/>
        <v/>
      </c>
      <c r="T150" t="str">
        <v/>
      </c>
      <c r="U150" t="str">
        <f t="shared" si="21"/>
        <v/>
      </c>
      <c r="V150" t="str">
        <v/>
      </c>
      <c r="W150" t="str">
        <f t="shared" si="22"/>
        <v/>
      </c>
      <c r="X150" t="str">
        <v/>
      </c>
      <c r="Y150" t="str">
        <f t="shared" si="23"/>
        <v/>
      </c>
    </row>
    <row r="151" spans="7:25" x14ac:dyDescent="0.3">
      <c r="G151" t="str">
        <v>Oceania</v>
      </c>
      <c r="H151" t="str">
        <v>New Zealand</v>
      </c>
      <c r="I151" s="3" t="str">
        <f>IFERROR((
K151*'Best Country'!$E$12+
M151*'Best Country'!$E$15+
O151*'Best Country'!$E$18+
Q151*'Best Country'!$E$9+
S151*'Best Country'!$E$6+
U151*'Best Country'!$E$21+
W151*'Best Country'!$E$24+
Y151*'Best Country'!$E$27
)/SUM('Best Country'!$E$5:$E$28), "")</f>
        <v/>
      </c>
      <c r="J151" t="str">
        <v/>
      </c>
      <c r="K151" t="str">
        <f t="shared" si="16"/>
        <v/>
      </c>
      <c r="L151">
        <v>0.93799999999999994</v>
      </c>
      <c r="M151">
        <f t="shared" si="17"/>
        <v>0.94178082191780821</v>
      </c>
      <c r="N151">
        <v>82.087999999999994</v>
      </c>
      <c r="O151">
        <f t="shared" si="18"/>
        <v>0.88420176673921358</v>
      </c>
      <c r="P151">
        <v>47348</v>
      </c>
      <c r="Q151">
        <f t="shared" si="19"/>
        <v>0.1805905487617526</v>
      </c>
      <c r="R151">
        <v>44.9</v>
      </c>
      <c r="S151">
        <f t="shared" si="20"/>
        <v>0.59518072289156632</v>
      </c>
      <c r="T151">
        <v>51.5</v>
      </c>
      <c r="U151">
        <f t="shared" si="21"/>
        <v>0.48706240487062402</v>
      </c>
      <c r="V151">
        <v>68.099999999999994</v>
      </c>
      <c r="W151">
        <f t="shared" si="22"/>
        <v>0.39873417721519</v>
      </c>
      <c r="X151">
        <v>6.952</v>
      </c>
      <c r="Y151">
        <f t="shared" si="23"/>
        <v>0.87696170747018209</v>
      </c>
    </row>
    <row r="152" spans="7:25" x14ac:dyDescent="0.3">
      <c r="G152" t="str">
        <v>North America</v>
      </c>
      <c r="H152" t="str">
        <v>Nicaragua</v>
      </c>
      <c r="I152" s="3" t="str">
        <f>IFERROR((
K152*'Best Country'!$E$12+
M152*'Best Country'!$E$15+
O152*'Best Country'!$E$18+
Q152*'Best Country'!$E$9+
S152*'Best Country'!$E$6+
U152*'Best Country'!$E$21+
W152*'Best Country'!$E$24+
Y152*'Best Country'!$E$27
)/SUM('Best Country'!$E$5:$E$28), "")</f>
        <v/>
      </c>
      <c r="J152">
        <v>0.46156292999999998</v>
      </c>
      <c r="K152">
        <f t="shared" si="16"/>
        <v>0.43314032472095132</v>
      </c>
      <c r="L152">
        <v>0.70599999999999996</v>
      </c>
      <c r="M152">
        <f t="shared" si="17"/>
        <v>0.54452054794520544</v>
      </c>
      <c r="N152">
        <v>74.947000000000003</v>
      </c>
      <c r="O152">
        <f t="shared" si="18"/>
        <v>0.6556458840097299</v>
      </c>
      <c r="P152">
        <v>3019</v>
      </c>
      <c r="Q152">
        <f t="shared" si="19"/>
        <v>1.0335371474221103E-2</v>
      </c>
      <c r="R152">
        <v>22</v>
      </c>
      <c r="S152">
        <f t="shared" si="20"/>
        <v>0.87108433734939761</v>
      </c>
      <c r="T152" t="str">
        <v/>
      </c>
      <c r="U152" t="str">
        <f t="shared" si="21"/>
        <v/>
      </c>
      <c r="V152" t="str">
        <v/>
      </c>
      <c r="W152" t="str">
        <f t="shared" si="22"/>
        <v/>
      </c>
      <c r="X152">
        <v>6.33</v>
      </c>
      <c r="Y152">
        <f t="shared" si="23"/>
        <v>0.77934714375392344</v>
      </c>
    </row>
    <row r="153" spans="7:25" x14ac:dyDescent="0.3">
      <c r="G153" t="str">
        <v>Africa</v>
      </c>
      <c r="H153" t="str">
        <v>Niger</v>
      </c>
      <c r="I153" s="3" t="str">
        <f>IFERROR((
K153*'Best Country'!$E$12+
M153*'Best Country'!$E$15+
O153*'Best Country'!$E$18+
Q153*'Best Country'!$E$9+
S153*'Best Country'!$E$6+
U153*'Best Country'!$E$21+
W153*'Best Country'!$E$24+
Y153*'Best Country'!$E$27
)/SUM('Best Country'!$E$5:$E$28), "")</f>
        <v/>
      </c>
      <c r="J153">
        <v>0.32862564999999999</v>
      </c>
      <c r="K153">
        <f t="shared" si="16"/>
        <v>0.77447080753296405</v>
      </c>
      <c r="L153">
        <v>0.41899999999999998</v>
      </c>
      <c r="M153">
        <f t="shared" si="17"/>
        <v>5.3082191780821873E-2</v>
      </c>
      <c r="N153">
        <v>61.183</v>
      </c>
      <c r="O153">
        <f t="shared" si="18"/>
        <v>0.21511330175393664</v>
      </c>
      <c r="P153">
        <v>784</v>
      </c>
      <c r="Q153">
        <f t="shared" si="19"/>
        <v>1.7513672955201869E-3</v>
      </c>
      <c r="R153" t="str">
        <v/>
      </c>
      <c r="S153" t="str">
        <f t="shared" si="20"/>
        <v/>
      </c>
      <c r="T153" t="str">
        <v/>
      </c>
      <c r="U153" t="str">
        <f t="shared" si="21"/>
        <v/>
      </c>
      <c r="V153" t="str">
        <v/>
      </c>
      <c r="W153" t="str">
        <f t="shared" si="22"/>
        <v/>
      </c>
      <c r="X153">
        <v>4.7249999999999996</v>
      </c>
      <c r="Y153">
        <f t="shared" si="23"/>
        <v>0.52746390458254866</v>
      </c>
    </row>
    <row r="154" spans="7:25" x14ac:dyDescent="0.3">
      <c r="G154" t="str">
        <v>Africa</v>
      </c>
      <c r="H154" t="str">
        <v>Nigeria</v>
      </c>
      <c r="I154" s="3">
        <f>IFERROR((
K154*'Best Country'!$E$12+
M154*'Best Country'!$E$15+
O154*'Best Country'!$E$18+
Q154*'Best Country'!$E$9+
S154*'Best Country'!$E$6+
U154*'Best Country'!$E$21+
W154*'Best Country'!$E$24+
Y154*'Best Country'!$E$27
)/SUM('Best Country'!$E$5:$E$28), "")</f>
        <v>0.39955541089441121</v>
      </c>
      <c r="J154">
        <v>0.35127744</v>
      </c>
      <c r="K154">
        <f t="shared" si="16"/>
        <v>0.71630994838753614</v>
      </c>
      <c r="L154">
        <v>0.56000000000000005</v>
      </c>
      <c r="M154">
        <f t="shared" si="17"/>
        <v>0.29452054794520555</v>
      </c>
      <c r="N154">
        <v>54.462000000000003</v>
      </c>
      <c r="O154">
        <f t="shared" si="18"/>
        <v>0</v>
      </c>
      <c r="P154">
        <v>793</v>
      </c>
      <c r="Q154">
        <f t="shared" si="19"/>
        <v>1.7859337553001904E-3</v>
      </c>
      <c r="R154">
        <v>24.9</v>
      </c>
      <c r="S154">
        <f t="shared" si="20"/>
        <v>0.83614457831325306</v>
      </c>
      <c r="T154">
        <v>33.9</v>
      </c>
      <c r="U154">
        <f t="shared" si="21"/>
        <v>0.21917808219178078</v>
      </c>
      <c r="V154">
        <v>49.1</v>
      </c>
      <c r="W154">
        <f t="shared" si="22"/>
        <v>0.79957805907172996</v>
      </c>
      <c r="X154">
        <v>4.8849999999999998</v>
      </c>
      <c r="Y154">
        <f t="shared" si="23"/>
        <v>0.55257376020087889</v>
      </c>
    </row>
    <row r="155" spans="7:25" x14ac:dyDescent="0.3">
      <c r="G155" t="str">
        <v>Oceania</v>
      </c>
      <c r="H155" t="str">
        <v>Niue</v>
      </c>
      <c r="I155" s="3" t="str">
        <f>IFERROR((
K155*'Best Country'!$E$12+
M155*'Best Country'!$E$15+
O155*'Best Country'!$E$18+
Q155*'Best Country'!$E$9+
S155*'Best Country'!$E$6+
U155*'Best Country'!$E$21+
W155*'Best Country'!$E$24+
Y155*'Best Country'!$E$27
)/SUM('Best Country'!$E$5:$E$28), "")</f>
        <v/>
      </c>
      <c r="J155" t="str">
        <v/>
      </c>
      <c r="K155" t="str">
        <f t="shared" si="16"/>
        <v/>
      </c>
      <c r="L155" t="str">
        <v/>
      </c>
      <c r="M155" t="str">
        <f t="shared" si="17"/>
        <v/>
      </c>
      <c r="N155" t="str">
        <v/>
      </c>
      <c r="O155" t="str">
        <f t="shared" si="18"/>
        <v/>
      </c>
      <c r="P155" t="str">
        <v/>
      </c>
      <c r="Q155" t="str">
        <f t="shared" si="19"/>
        <v/>
      </c>
      <c r="R155" t="str">
        <v/>
      </c>
      <c r="S155" t="str">
        <f t="shared" si="20"/>
        <v/>
      </c>
      <c r="T155" t="str">
        <v/>
      </c>
      <c r="U155" t="str">
        <f t="shared" si="21"/>
        <v/>
      </c>
      <c r="V155" t="str">
        <v/>
      </c>
      <c r="W155" t="str">
        <f t="shared" si="22"/>
        <v/>
      </c>
      <c r="X155" t="str">
        <v/>
      </c>
      <c r="Y155" t="str">
        <f t="shared" si="23"/>
        <v/>
      </c>
    </row>
    <row r="156" spans="7:25" x14ac:dyDescent="0.3">
      <c r="G156" t="str">
        <v>Asia</v>
      </c>
      <c r="H156" t="str">
        <v>North Korea</v>
      </c>
      <c r="I156" s="3" t="str">
        <f>IFERROR((
K156*'Best Country'!$E$12+
M156*'Best Country'!$E$15+
O156*'Best Country'!$E$18+
Q156*'Best Country'!$E$9+
S156*'Best Country'!$E$6+
U156*'Best Country'!$E$21+
W156*'Best Country'!$E$24+
Y156*'Best Country'!$E$27
)/SUM('Best Country'!$E$5:$E$28), "")</f>
        <v/>
      </c>
      <c r="J156" t="str">
        <v/>
      </c>
      <c r="K156" t="str">
        <f t="shared" si="16"/>
        <v/>
      </c>
      <c r="L156" t="str">
        <v/>
      </c>
      <c r="M156" t="str">
        <f t="shared" si="17"/>
        <v/>
      </c>
      <c r="N156" t="str">
        <v/>
      </c>
      <c r="O156" t="str">
        <f t="shared" si="18"/>
        <v/>
      </c>
      <c r="P156">
        <v>619</v>
      </c>
      <c r="Q156">
        <f t="shared" si="19"/>
        <v>1.1176488662201192E-3</v>
      </c>
      <c r="R156" t="str">
        <v/>
      </c>
      <c r="S156" t="str">
        <f t="shared" si="20"/>
        <v/>
      </c>
      <c r="T156" t="str">
        <v/>
      </c>
      <c r="U156" t="str">
        <f t="shared" si="21"/>
        <v/>
      </c>
      <c r="V156" t="str">
        <v/>
      </c>
      <c r="W156" t="str">
        <f t="shared" si="22"/>
        <v/>
      </c>
      <c r="X156" t="str">
        <v/>
      </c>
      <c r="Y156" t="str">
        <f t="shared" si="23"/>
        <v/>
      </c>
    </row>
    <row r="157" spans="7:25" x14ac:dyDescent="0.3">
      <c r="G157" t="str">
        <v>Europe</v>
      </c>
      <c r="H157" t="str">
        <v>North Macedonia</v>
      </c>
      <c r="I157" s="3">
        <f>IFERROR((
K157*'Best Country'!$E$12+
M157*'Best Country'!$E$15+
O157*'Best Country'!$E$18+
Q157*'Best Country'!$E$9+
S157*'Best Country'!$E$6+
U157*'Best Country'!$E$21+
W157*'Best Country'!$E$24+
Y157*'Best Country'!$E$27
)/SUM('Best Country'!$E$5:$E$28), "")</f>
        <v>0.61151267958112587</v>
      </c>
      <c r="J157">
        <v>0.33505829999999998</v>
      </c>
      <c r="K157">
        <f t="shared" si="16"/>
        <v>0.75795430042329037</v>
      </c>
      <c r="L157">
        <v>0.81499999999999995</v>
      </c>
      <c r="M157">
        <f t="shared" si="17"/>
        <v>0.73116438356164382</v>
      </c>
      <c r="N157">
        <v>77.394999999999996</v>
      </c>
      <c r="O157">
        <f t="shared" si="18"/>
        <v>0.73399692741006251</v>
      </c>
      <c r="P157">
        <v>9861</v>
      </c>
      <c r="Q157">
        <f t="shared" si="19"/>
        <v>3.6613562342530569E-2</v>
      </c>
      <c r="R157">
        <v>22.4</v>
      </c>
      <c r="S157">
        <f t="shared" si="20"/>
        <v>0.86626506024096384</v>
      </c>
      <c r="T157">
        <v>58.6</v>
      </c>
      <c r="U157">
        <f t="shared" si="21"/>
        <v>0.59512937595129378</v>
      </c>
      <c r="V157">
        <v>55.3</v>
      </c>
      <c r="W157">
        <f t="shared" si="22"/>
        <v>0.66877637130801704</v>
      </c>
      <c r="X157">
        <v>5.5030000000000001</v>
      </c>
      <c r="Y157">
        <f t="shared" si="23"/>
        <v>0.64956057752667928</v>
      </c>
    </row>
    <row r="158" spans="7:25" x14ac:dyDescent="0.3">
      <c r="G158" t="str">
        <v>Oceania</v>
      </c>
      <c r="H158" t="str">
        <v>Northern Mariana Islands</v>
      </c>
      <c r="I158" s="3" t="str">
        <f>IFERROR((
K158*'Best Country'!$E$12+
M158*'Best Country'!$E$15+
O158*'Best Country'!$E$18+
Q158*'Best Country'!$E$9+
S158*'Best Country'!$E$6+
U158*'Best Country'!$E$21+
W158*'Best Country'!$E$24+
Y158*'Best Country'!$E$27
)/SUM('Best Country'!$E$5:$E$28), "")</f>
        <v/>
      </c>
      <c r="J158" t="str">
        <v/>
      </c>
      <c r="K158" t="str">
        <f t="shared" si="16"/>
        <v/>
      </c>
      <c r="L158" t="str">
        <v/>
      </c>
      <c r="M158" t="str">
        <f t="shared" si="17"/>
        <v/>
      </c>
      <c r="N158" t="str">
        <v/>
      </c>
      <c r="O158" t="str">
        <f t="shared" si="18"/>
        <v/>
      </c>
      <c r="P158" t="str">
        <v/>
      </c>
      <c r="Q158" t="str">
        <f t="shared" si="19"/>
        <v/>
      </c>
      <c r="R158" t="str">
        <v/>
      </c>
      <c r="S158" t="str">
        <f t="shared" si="20"/>
        <v/>
      </c>
      <c r="T158" t="str">
        <v/>
      </c>
      <c r="U158" t="str">
        <f t="shared" si="21"/>
        <v/>
      </c>
      <c r="V158" t="str">
        <v/>
      </c>
      <c r="W158" t="str">
        <f t="shared" si="22"/>
        <v/>
      </c>
      <c r="X158" t="str">
        <v/>
      </c>
      <c r="Y158" t="str">
        <f t="shared" si="23"/>
        <v/>
      </c>
    </row>
    <row r="159" spans="7:25" x14ac:dyDescent="0.3">
      <c r="G159" t="str">
        <v>Europe</v>
      </c>
      <c r="H159" t="str">
        <v>Norway</v>
      </c>
      <c r="I159" s="3">
        <f>IFERROR((
K159*'Best Country'!$E$12+
M159*'Best Country'!$E$15+
O159*'Best Country'!$E$18+
Q159*'Best Country'!$E$9+
S159*'Best Country'!$E$6+
U159*'Best Country'!$E$21+
W159*'Best Country'!$E$24+
Y159*'Best Country'!$E$27
)/SUM('Best Country'!$E$5:$E$28), "")</f>
        <v>0.73533666295522782</v>
      </c>
      <c r="J159">
        <v>0.26946252999999998</v>
      </c>
      <c r="K159">
        <f t="shared" si="16"/>
        <v>0.9263783560721327</v>
      </c>
      <c r="L159">
        <v>0.97</v>
      </c>
      <c r="M159">
        <f t="shared" si="17"/>
        <v>0.99657534246575341</v>
      </c>
      <c r="N159">
        <v>83.308000000000007</v>
      </c>
      <c r="O159">
        <f t="shared" si="18"/>
        <v>0.92324926385866102</v>
      </c>
      <c r="P159">
        <v>89680</v>
      </c>
      <c r="Q159">
        <f t="shared" si="19"/>
        <v>0.3431758126958766</v>
      </c>
      <c r="R159">
        <v>56.8</v>
      </c>
      <c r="S159">
        <f t="shared" si="20"/>
        <v>0.45180722891566261</v>
      </c>
      <c r="T159">
        <v>67.2</v>
      </c>
      <c r="U159">
        <f t="shared" si="21"/>
        <v>0.72602739726027399</v>
      </c>
      <c r="V159">
        <v>75.8</v>
      </c>
      <c r="W159">
        <f t="shared" si="22"/>
        <v>0.23628691983122374</v>
      </c>
      <c r="X159">
        <v>7.2619999999999996</v>
      </c>
      <c r="Y159">
        <f t="shared" si="23"/>
        <v>0.9256120527306968</v>
      </c>
    </row>
    <row r="160" spans="7:25" x14ac:dyDescent="0.3">
      <c r="G160" t="str">
        <v>Asia</v>
      </c>
      <c r="H160" t="str">
        <v>Oman</v>
      </c>
      <c r="I160" s="3" t="str">
        <f>IFERROR((
K160*'Best Country'!$E$12+
M160*'Best Country'!$E$15+
O160*'Best Country'!$E$18+
Q160*'Best Country'!$E$9+
S160*'Best Country'!$E$6+
U160*'Best Country'!$E$21+
W160*'Best Country'!$E$24+
Y160*'Best Country'!$E$27
)/SUM('Best Country'!$E$5:$E$28), "")</f>
        <v/>
      </c>
      <c r="J160" t="str">
        <v/>
      </c>
      <c r="K160" t="str">
        <f t="shared" si="16"/>
        <v/>
      </c>
      <c r="L160">
        <v>0.85799999999999998</v>
      </c>
      <c r="M160">
        <f t="shared" si="17"/>
        <v>0.8047945205479452</v>
      </c>
      <c r="N160">
        <v>80.031000000000006</v>
      </c>
      <c r="O160">
        <f t="shared" si="18"/>
        <v>0.81836512610421208</v>
      </c>
      <c r="P160">
        <v>18991</v>
      </c>
      <c r="Q160">
        <f t="shared" si="19"/>
        <v>7.1679315430467641E-2</v>
      </c>
      <c r="R160">
        <v>27.5</v>
      </c>
      <c r="S160">
        <f t="shared" si="20"/>
        <v>0.80481927710843371</v>
      </c>
      <c r="T160">
        <v>81.400000000000006</v>
      </c>
      <c r="U160">
        <f t="shared" si="21"/>
        <v>0.9421613394216134</v>
      </c>
      <c r="V160">
        <v>63.3</v>
      </c>
      <c r="W160">
        <f t="shared" si="22"/>
        <v>0.5</v>
      </c>
      <c r="X160">
        <v>6.1970000000000001</v>
      </c>
      <c r="Y160">
        <f t="shared" si="23"/>
        <v>0.75847457627118653</v>
      </c>
    </row>
    <row r="161" spans="7:25" x14ac:dyDescent="0.3">
      <c r="G161" t="str">
        <v>Asia</v>
      </c>
      <c r="H161" t="str">
        <v>Pakistan</v>
      </c>
      <c r="I161" s="3">
        <f>IFERROR((
K161*'Best Country'!$E$12+
M161*'Best Country'!$E$15+
O161*'Best Country'!$E$18+
Q161*'Best Country'!$E$9+
S161*'Best Country'!$E$6+
U161*'Best Country'!$E$21+
W161*'Best Country'!$E$24+
Y161*'Best Country'!$E$27
)/SUM('Best Country'!$E$5:$E$28), "")</f>
        <v>0.48776182398111939</v>
      </c>
      <c r="J161">
        <v>0.29589265999999997</v>
      </c>
      <c r="K161">
        <f t="shared" si="16"/>
        <v>0.85851621060259808</v>
      </c>
      <c r="L161">
        <v>0.54400000000000004</v>
      </c>
      <c r="M161">
        <f t="shared" si="17"/>
        <v>0.26712328767123295</v>
      </c>
      <c r="N161">
        <v>67.649000000000001</v>
      </c>
      <c r="O161">
        <f t="shared" si="18"/>
        <v>0.42206503648700544</v>
      </c>
      <c r="P161">
        <v>1175</v>
      </c>
      <c r="Q161">
        <f t="shared" si="19"/>
        <v>3.2530879370736804E-3</v>
      </c>
      <c r="R161">
        <v>11.3</v>
      </c>
      <c r="S161">
        <f t="shared" si="20"/>
        <v>1</v>
      </c>
      <c r="T161">
        <v>57.6</v>
      </c>
      <c r="U161">
        <f t="shared" si="21"/>
        <v>0.57990867579908678</v>
      </c>
      <c r="V161">
        <v>59.4</v>
      </c>
      <c r="W161">
        <f t="shared" si="22"/>
        <v>0.58227848101265822</v>
      </c>
      <c r="X161">
        <v>4.7679999999999998</v>
      </c>
      <c r="Y161">
        <f t="shared" si="23"/>
        <v>0.53421217827997491</v>
      </c>
    </row>
    <row r="162" spans="7:25" x14ac:dyDescent="0.3">
      <c r="G162" t="str">
        <v>Oceania</v>
      </c>
      <c r="H162" t="str">
        <v>Palau</v>
      </c>
      <c r="I162" s="3" t="str">
        <f>IFERROR((
K162*'Best Country'!$E$12+
M162*'Best Country'!$E$15+
O162*'Best Country'!$E$18+
Q162*'Best Country'!$E$9+
S162*'Best Country'!$E$6+
U162*'Best Country'!$E$21+
W162*'Best Country'!$E$24+
Y162*'Best Country'!$E$27
)/SUM('Best Country'!$E$5:$E$28), "")</f>
        <v/>
      </c>
      <c r="J162" t="str">
        <v/>
      </c>
      <c r="K162" t="str">
        <f t="shared" si="16"/>
        <v/>
      </c>
      <c r="L162">
        <v>0.78600000000000003</v>
      </c>
      <c r="M162">
        <f t="shared" si="17"/>
        <v>0.68150684931506855</v>
      </c>
      <c r="N162">
        <v>69.269000000000005</v>
      </c>
      <c r="O162">
        <f t="shared" si="18"/>
        <v>0.47391499167840234</v>
      </c>
      <c r="P162">
        <v>18853</v>
      </c>
      <c r="Q162">
        <f t="shared" si="19"/>
        <v>7.1149296380507585E-2</v>
      </c>
      <c r="R162" t="str">
        <v/>
      </c>
      <c r="S162" t="str">
        <f t="shared" si="20"/>
        <v/>
      </c>
      <c r="T162" t="str">
        <v/>
      </c>
      <c r="U162" t="str">
        <f t="shared" si="21"/>
        <v/>
      </c>
      <c r="V162" t="str">
        <v/>
      </c>
      <c r="W162" t="str">
        <f t="shared" si="22"/>
        <v/>
      </c>
      <c r="X162" t="str">
        <v/>
      </c>
      <c r="Y162" t="str">
        <f t="shared" si="23"/>
        <v/>
      </c>
    </row>
    <row r="163" spans="7:25" x14ac:dyDescent="0.3">
      <c r="G163" t="str">
        <v>Asia</v>
      </c>
      <c r="H163" t="str">
        <v>Palestine</v>
      </c>
      <c r="I163" s="3" t="str">
        <f>IFERROR((
K163*'Best Country'!$E$12+
M163*'Best Country'!$E$15+
O163*'Best Country'!$E$18+
Q163*'Best Country'!$E$9+
S163*'Best Country'!$E$6+
U163*'Best Country'!$E$21+
W163*'Best Country'!$E$24+
Y163*'Best Country'!$E$27
)/SUM('Best Country'!$E$5:$E$28), "")</f>
        <v/>
      </c>
      <c r="J163">
        <v>0.36381876000000002</v>
      </c>
      <c r="K163">
        <f t="shared" si="16"/>
        <v>0.68410878697743382</v>
      </c>
      <c r="L163">
        <v>0.67400000000000004</v>
      </c>
      <c r="M163">
        <f t="shared" si="17"/>
        <v>0.48972602739726034</v>
      </c>
      <c r="N163">
        <v>65.17</v>
      </c>
      <c r="O163">
        <f t="shared" si="18"/>
        <v>0.34272180258609647</v>
      </c>
      <c r="P163">
        <v>3112</v>
      </c>
      <c r="Q163">
        <f t="shared" si="19"/>
        <v>1.0692558225281141E-2</v>
      </c>
      <c r="R163">
        <v>28.2</v>
      </c>
      <c r="S163">
        <f t="shared" si="20"/>
        <v>0.79638554216867474</v>
      </c>
      <c r="T163" t="str">
        <v/>
      </c>
      <c r="U163" t="str">
        <f t="shared" si="21"/>
        <v/>
      </c>
      <c r="V163" t="str">
        <v/>
      </c>
      <c r="W163" t="str">
        <f t="shared" si="22"/>
        <v/>
      </c>
      <c r="X163">
        <v>4.78</v>
      </c>
      <c r="Y163">
        <f t="shared" si="23"/>
        <v>0.5360954174513497</v>
      </c>
    </row>
    <row r="164" spans="7:25" x14ac:dyDescent="0.3">
      <c r="G164" t="str">
        <v>North America</v>
      </c>
      <c r="H164" t="str">
        <v>Panama</v>
      </c>
      <c r="I164" s="3">
        <f>IFERROR((
K164*'Best Country'!$E$12+
M164*'Best Country'!$E$15+
O164*'Best Country'!$E$18+
Q164*'Best Country'!$E$9+
S164*'Best Country'!$E$6+
U164*'Best Country'!$E$21+
W164*'Best Country'!$E$24+
Y164*'Best Country'!$E$27
)/SUM('Best Country'!$E$5:$E$28), "")</f>
        <v>0.59131459132923847</v>
      </c>
      <c r="J164">
        <v>0.48875666000000001</v>
      </c>
      <c r="K164">
        <f t="shared" si="16"/>
        <v>0.36331755574027469</v>
      </c>
      <c r="L164">
        <v>0.83899999999999997</v>
      </c>
      <c r="M164">
        <f t="shared" si="17"/>
        <v>0.77226027397260266</v>
      </c>
      <c r="N164">
        <v>79.593999999999994</v>
      </c>
      <c r="O164">
        <f t="shared" si="18"/>
        <v>0.8043784406606066</v>
      </c>
      <c r="P164">
        <v>20055</v>
      </c>
      <c r="Q164">
        <f t="shared" si="19"/>
        <v>7.576583912001475E-2</v>
      </c>
      <c r="R164">
        <v>34.6</v>
      </c>
      <c r="S164">
        <f t="shared" si="20"/>
        <v>0.71927710843373494</v>
      </c>
      <c r="T164">
        <v>57.3</v>
      </c>
      <c r="U164">
        <f t="shared" si="21"/>
        <v>0.57534246575342463</v>
      </c>
      <c r="V164">
        <v>61.2</v>
      </c>
      <c r="W164">
        <f t="shared" si="22"/>
        <v>0.54430379746835444</v>
      </c>
      <c r="X164">
        <v>6.407</v>
      </c>
      <c r="Y164">
        <f t="shared" si="23"/>
        <v>0.79143126177024481</v>
      </c>
    </row>
    <row r="165" spans="7:25" x14ac:dyDescent="0.3">
      <c r="G165" t="str">
        <v>Oceania</v>
      </c>
      <c r="H165" t="str">
        <v>Papua New Guinea</v>
      </c>
      <c r="I165" s="3" t="str">
        <f>IFERROR((
K165*'Best Country'!$E$12+
M165*'Best Country'!$E$15+
O165*'Best Country'!$E$18+
Q165*'Best Country'!$E$9+
S165*'Best Country'!$E$6+
U165*'Best Country'!$E$21+
W165*'Best Country'!$E$24+
Y165*'Best Country'!$E$27
)/SUM('Best Country'!$E$5:$E$28), "")</f>
        <v/>
      </c>
      <c r="J165" t="str">
        <v/>
      </c>
      <c r="K165" t="str">
        <f t="shared" si="16"/>
        <v/>
      </c>
      <c r="L165">
        <v>0.57599999999999996</v>
      </c>
      <c r="M165">
        <f t="shared" si="17"/>
        <v>0.32191780821917798</v>
      </c>
      <c r="N165">
        <v>66.134</v>
      </c>
      <c r="O165">
        <f t="shared" si="18"/>
        <v>0.3735757265394955</v>
      </c>
      <c r="P165">
        <v>3051</v>
      </c>
      <c r="Q165">
        <f t="shared" si="19"/>
        <v>1.0458274442327782E-2</v>
      </c>
      <c r="R165">
        <v>51.6</v>
      </c>
      <c r="S165">
        <f t="shared" si="20"/>
        <v>0.51445783132530121</v>
      </c>
      <c r="T165" t="str">
        <v/>
      </c>
      <c r="U165" t="str">
        <f t="shared" si="21"/>
        <v/>
      </c>
      <c r="V165" t="str">
        <v/>
      </c>
      <c r="W165" t="str">
        <f t="shared" si="22"/>
        <v/>
      </c>
      <c r="X165" t="str">
        <v/>
      </c>
      <c r="Y165" t="str">
        <f t="shared" si="23"/>
        <v/>
      </c>
    </row>
    <row r="166" spans="7:25" x14ac:dyDescent="0.3">
      <c r="G166" t="str">
        <v>South America</v>
      </c>
      <c r="H166" t="str">
        <v>Paraguay</v>
      </c>
      <c r="I166" s="3" t="str">
        <f>IFERROR((
K166*'Best Country'!$E$12+
M166*'Best Country'!$E$15+
O166*'Best Country'!$E$18+
Q166*'Best Country'!$E$9+
S166*'Best Country'!$E$6+
U166*'Best Country'!$E$21+
W166*'Best Country'!$E$24+
Y166*'Best Country'!$E$27
)/SUM('Best Country'!$E$5:$E$28), "")</f>
        <v/>
      </c>
      <c r="J166">
        <v>0.44382226000000002</v>
      </c>
      <c r="K166">
        <f t="shared" si="16"/>
        <v>0.47869136545616553</v>
      </c>
      <c r="L166">
        <v>0.75600000000000001</v>
      </c>
      <c r="M166">
        <f t="shared" si="17"/>
        <v>0.63013698630136994</v>
      </c>
      <c r="N166">
        <v>73.843999999999994</v>
      </c>
      <c r="O166">
        <f t="shared" si="18"/>
        <v>0.62034310587632802</v>
      </c>
      <c r="P166">
        <v>6483</v>
      </c>
      <c r="Q166">
        <f t="shared" si="19"/>
        <v>2.3639617771769188E-2</v>
      </c>
      <c r="R166">
        <v>16.600000000000001</v>
      </c>
      <c r="S166">
        <f t="shared" si="20"/>
        <v>0.93614457831325304</v>
      </c>
      <c r="T166" t="str">
        <v/>
      </c>
      <c r="U166" t="str">
        <f t="shared" si="21"/>
        <v/>
      </c>
      <c r="V166" t="str">
        <v/>
      </c>
      <c r="W166" t="str">
        <f t="shared" si="22"/>
        <v/>
      </c>
      <c r="X166">
        <v>6.1719999999999997</v>
      </c>
      <c r="Y166">
        <f t="shared" si="23"/>
        <v>0.75455116133082234</v>
      </c>
    </row>
    <row r="167" spans="7:25" x14ac:dyDescent="0.3">
      <c r="G167" t="str">
        <v>South America</v>
      </c>
      <c r="H167" t="str">
        <v>Peru</v>
      </c>
      <c r="I167" s="3">
        <f>IFERROR((
K167*'Best Country'!$E$12+
M167*'Best Country'!$E$15+
O167*'Best Country'!$E$18+
Q167*'Best Country'!$E$9+
S167*'Best Country'!$E$6+
U167*'Best Country'!$E$21+
W167*'Best Country'!$E$24+
Y167*'Best Country'!$E$27
)/SUM('Best Country'!$E$5:$E$28), "")</f>
        <v>0.56539315231791565</v>
      </c>
      <c r="J167">
        <v>0.40657840000000001</v>
      </c>
      <c r="K167">
        <f t="shared" si="16"/>
        <v>0.57431890286014298</v>
      </c>
      <c r="L167">
        <v>0.79400000000000004</v>
      </c>
      <c r="M167">
        <f t="shared" si="17"/>
        <v>0.69520547945205491</v>
      </c>
      <c r="N167">
        <v>77.739999999999995</v>
      </c>
      <c r="O167">
        <f t="shared" si="18"/>
        <v>0.74503904749711913</v>
      </c>
      <c r="P167">
        <v>8772</v>
      </c>
      <c r="Q167">
        <f t="shared" si="19"/>
        <v>3.2431020709150125E-2</v>
      </c>
      <c r="R167">
        <v>21.4</v>
      </c>
      <c r="S167">
        <f t="shared" si="20"/>
        <v>0.87831325301204821</v>
      </c>
      <c r="T167">
        <v>33.299999999999997</v>
      </c>
      <c r="U167">
        <f t="shared" si="21"/>
        <v>0.21004566210045658</v>
      </c>
      <c r="V167">
        <v>56.7</v>
      </c>
      <c r="W167">
        <f t="shared" si="22"/>
        <v>0.63924050632911389</v>
      </c>
      <c r="X167">
        <v>5.9470000000000001</v>
      </c>
      <c r="Y167">
        <f t="shared" si="23"/>
        <v>0.71924042686754552</v>
      </c>
    </row>
    <row r="168" spans="7:25" x14ac:dyDescent="0.3">
      <c r="G168" t="str">
        <v>Asia</v>
      </c>
      <c r="H168" t="str">
        <v>Philippines</v>
      </c>
      <c r="I168" s="3">
        <f>IFERROR((
K168*'Best Country'!$E$12+
M168*'Best Country'!$E$15+
O168*'Best Country'!$E$18+
Q168*'Best Country'!$E$9+
S168*'Best Country'!$E$6+
U168*'Best Country'!$E$21+
W168*'Best Country'!$E$24+
Y168*'Best Country'!$E$27
)/SUM('Best Country'!$E$5:$E$28), "")</f>
        <v>0.55238375018649333</v>
      </c>
      <c r="J168">
        <v>0.35203487</v>
      </c>
      <c r="K168">
        <f t="shared" si="16"/>
        <v>0.71436516700193597</v>
      </c>
      <c r="L168">
        <v>0.72</v>
      </c>
      <c r="M168">
        <f t="shared" si="17"/>
        <v>0.56849315068493145</v>
      </c>
      <c r="N168">
        <v>69.832999999999998</v>
      </c>
      <c r="O168">
        <f t="shared" si="18"/>
        <v>0.49196645755985136</v>
      </c>
      <c r="P168">
        <v>4260</v>
      </c>
      <c r="Q168">
        <f t="shared" si="19"/>
        <v>1.5101702206108278E-2</v>
      </c>
      <c r="R168">
        <v>19.8</v>
      </c>
      <c r="S168">
        <f t="shared" si="20"/>
        <v>0.89759036144578319</v>
      </c>
      <c r="T168">
        <v>56.6</v>
      </c>
      <c r="U168">
        <f t="shared" si="21"/>
        <v>0.56468797564687978</v>
      </c>
      <c r="V168">
        <v>66.8</v>
      </c>
      <c r="W168">
        <f t="shared" si="22"/>
        <v>0.42616033755274274</v>
      </c>
      <c r="X168">
        <v>6.1070000000000002</v>
      </c>
      <c r="Y168">
        <f t="shared" si="23"/>
        <v>0.74435028248587576</v>
      </c>
    </row>
    <row r="169" spans="7:25" x14ac:dyDescent="0.3">
      <c r="G169" t="str">
        <v>Europe</v>
      </c>
      <c r="H169" t="str">
        <v>Poland</v>
      </c>
      <c r="I169" s="3">
        <f>IFERROR((
K169*'Best Country'!$E$12+
M169*'Best Country'!$E$15+
O169*'Best Country'!$E$18+
Q169*'Best Country'!$E$9+
S169*'Best Country'!$E$6+
U169*'Best Country'!$E$21+
W169*'Best Country'!$E$24+
Y169*'Best Country'!$E$27
)/SUM('Best Country'!$E$5:$E$28), "")</f>
        <v>0.70067330894574353</v>
      </c>
      <c r="J169">
        <v>0.28858184999999997</v>
      </c>
      <c r="K169">
        <f t="shared" si="16"/>
        <v>0.87728748610219376</v>
      </c>
      <c r="L169">
        <v>0.90600000000000003</v>
      </c>
      <c r="M169">
        <f t="shared" si="17"/>
        <v>0.88698630136986312</v>
      </c>
      <c r="N169">
        <v>78.632999999999996</v>
      </c>
      <c r="O169">
        <f t="shared" si="18"/>
        <v>0.7736205351427472</v>
      </c>
      <c r="P169">
        <v>25693</v>
      </c>
      <c r="Q169">
        <f t="shared" si="19"/>
        <v>9.7419805813310389E-2</v>
      </c>
      <c r="R169">
        <v>32.700000000000003</v>
      </c>
      <c r="S169">
        <f t="shared" si="20"/>
        <v>0.74216867469879522</v>
      </c>
      <c r="T169">
        <v>71.3</v>
      </c>
      <c r="U169">
        <f t="shared" si="21"/>
        <v>0.78843226788432264</v>
      </c>
      <c r="V169">
        <v>58</v>
      </c>
      <c r="W169">
        <f t="shared" si="22"/>
        <v>0.61181434599156126</v>
      </c>
      <c r="X169">
        <v>6.673</v>
      </c>
      <c r="Y169">
        <f t="shared" si="23"/>
        <v>0.83317639673571886</v>
      </c>
    </row>
    <row r="170" spans="7:25" x14ac:dyDescent="0.3">
      <c r="G170" t="str">
        <v>Europe</v>
      </c>
      <c r="H170" t="str">
        <v>Portugal</v>
      </c>
      <c r="I170" s="3">
        <f>IFERROR((
K170*'Best Country'!$E$12+
M170*'Best Country'!$E$15+
O170*'Best Country'!$E$18+
Q170*'Best Country'!$E$9+
S170*'Best Country'!$E$6+
U170*'Best Country'!$E$21+
W170*'Best Country'!$E$24+
Y170*'Best Country'!$E$27
)/SUM('Best Country'!$E$5:$E$28), "")</f>
        <v>0.64147202713479634</v>
      </c>
      <c r="J170">
        <v>0.36252203999999999</v>
      </c>
      <c r="K170">
        <f t="shared" si="16"/>
        <v>0.68743825229876432</v>
      </c>
      <c r="L170">
        <v>0.89</v>
      </c>
      <c r="M170">
        <f t="shared" si="17"/>
        <v>0.85958904109589052</v>
      </c>
      <c r="N170">
        <v>82.36</v>
      </c>
      <c r="O170">
        <f t="shared" si="18"/>
        <v>0.89290743822813967</v>
      </c>
      <c r="P170">
        <v>30873</v>
      </c>
      <c r="Q170">
        <f t="shared" si="19"/>
        <v>0.11731472377557918</v>
      </c>
      <c r="R170">
        <v>36.799999999999997</v>
      </c>
      <c r="S170">
        <f t="shared" si="20"/>
        <v>0.69277108433734946</v>
      </c>
      <c r="T170">
        <v>67.599999999999994</v>
      </c>
      <c r="U170">
        <f t="shared" si="21"/>
        <v>0.73211567732115668</v>
      </c>
      <c r="V170">
        <v>72</v>
      </c>
      <c r="W170">
        <f t="shared" si="22"/>
        <v>0.31645569620253167</v>
      </c>
      <c r="X170">
        <v>6.0129999999999999</v>
      </c>
      <c r="Y170">
        <f t="shared" si="23"/>
        <v>0.72959824231010673</v>
      </c>
    </row>
    <row r="171" spans="7:25" x14ac:dyDescent="0.3">
      <c r="G171" t="str">
        <v>North America</v>
      </c>
      <c r="H171" t="str">
        <v>Puerto Rico</v>
      </c>
      <c r="I171" s="3" t="str">
        <f>IFERROR((
K171*'Best Country'!$E$12+
M171*'Best Country'!$E$15+
O171*'Best Country'!$E$18+
Q171*'Best Country'!$E$9+
S171*'Best Country'!$E$6+
U171*'Best Country'!$E$21+
W171*'Best Country'!$E$24+
Y171*'Best Country'!$E$27
)/SUM('Best Country'!$E$5:$E$28), "")</f>
        <v/>
      </c>
      <c r="J171" t="str">
        <v/>
      </c>
      <c r="K171" t="str">
        <f t="shared" si="16"/>
        <v/>
      </c>
      <c r="L171" t="str">
        <v/>
      </c>
      <c r="M171" t="str">
        <f t="shared" si="17"/>
        <v/>
      </c>
      <c r="N171" t="str">
        <v/>
      </c>
      <c r="O171" t="str">
        <f t="shared" si="18"/>
        <v/>
      </c>
      <c r="P171">
        <v>37870</v>
      </c>
      <c r="Q171">
        <f t="shared" si="19"/>
        <v>0.14418822589565539</v>
      </c>
      <c r="R171">
        <v>42.7</v>
      </c>
      <c r="S171">
        <f t="shared" si="20"/>
        <v>0.62168674698795179</v>
      </c>
      <c r="T171">
        <v>38.700000000000003</v>
      </c>
      <c r="U171">
        <f t="shared" si="21"/>
        <v>0.29223744292237447</v>
      </c>
      <c r="V171">
        <v>59.1</v>
      </c>
      <c r="W171">
        <f t="shared" si="22"/>
        <v>0.58860759493670889</v>
      </c>
      <c r="X171" t="str">
        <v/>
      </c>
      <c r="Y171" t="str">
        <f t="shared" si="23"/>
        <v/>
      </c>
    </row>
    <row r="172" spans="7:25" x14ac:dyDescent="0.3">
      <c r="G172" t="str">
        <v>Asia</v>
      </c>
      <c r="H172" t="str">
        <v>Qatar</v>
      </c>
      <c r="I172" s="3" t="str">
        <f>IFERROR((
K172*'Best Country'!$E$12+
M172*'Best Country'!$E$15+
O172*'Best Country'!$E$18+
Q172*'Best Country'!$E$9+
S172*'Best Country'!$E$6+
U172*'Best Country'!$E$21+
W172*'Best Country'!$E$24+
Y172*'Best Country'!$E$27
)/SUM('Best Country'!$E$5:$E$28), "")</f>
        <v/>
      </c>
      <c r="J172">
        <v>0.35128385000000001</v>
      </c>
      <c r="K172">
        <f t="shared" si="16"/>
        <v>0.71629349003668952</v>
      </c>
      <c r="L172">
        <v>0.88600000000000001</v>
      </c>
      <c r="M172">
        <f t="shared" si="17"/>
        <v>0.85273972602739734</v>
      </c>
      <c r="N172">
        <v>82.367999999999995</v>
      </c>
      <c r="O172">
        <f t="shared" si="18"/>
        <v>0.89316348738957851</v>
      </c>
      <c r="P172">
        <v>71497</v>
      </c>
      <c r="Q172">
        <f t="shared" si="19"/>
        <v>0.27334004178700916</v>
      </c>
      <c r="R172">
        <v>42.7</v>
      </c>
      <c r="S172">
        <f t="shared" si="20"/>
        <v>0.62168674698795179</v>
      </c>
      <c r="T172">
        <v>84.6</v>
      </c>
      <c r="U172">
        <f t="shared" si="21"/>
        <v>0.99086757990867569</v>
      </c>
      <c r="V172">
        <v>73.5</v>
      </c>
      <c r="W172">
        <f t="shared" si="22"/>
        <v>0.28481012658227844</v>
      </c>
      <c r="X172" t="str">
        <v/>
      </c>
      <c r="Y172" t="str">
        <f t="shared" si="23"/>
        <v/>
      </c>
    </row>
    <row r="173" spans="7:25" x14ac:dyDescent="0.3">
      <c r="G173" t="str">
        <v>Africa</v>
      </c>
      <c r="H173" t="str">
        <v>Republic of the Congo</v>
      </c>
      <c r="I173" s="3" t="str">
        <f>IFERROR((
K173*'Best Country'!$E$12+
M173*'Best Country'!$E$15+
O173*'Best Country'!$E$18+
Q173*'Best Country'!$E$9+
S173*'Best Country'!$E$6+
U173*'Best Country'!$E$21+
W173*'Best Country'!$E$24+
Y173*'Best Country'!$E$27
)/SUM('Best Country'!$E$5:$E$28), "")</f>
        <v/>
      </c>
      <c r="J173">
        <v>0.48937692999999999</v>
      </c>
      <c r="K173">
        <f t="shared" si="16"/>
        <v>0.36172494711631464</v>
      </c>
      <c r="L173">
        <v>0.64900000000000002</v>
      </c>
      <c r="M173">
        <f t="shared" si="17"/>
        <v>0.44691780821917815</v>
      </c>
      <c r="N173">
        <v>65.772000000000006</v>
      </c>
      <c r="O173">
        <f t="shared" si="18"/>
        <v>0.36198950198438107</v>
      </c>
      <c r="P173">
        <v>2357</v>
      </c>
      <c r="Q173">
        <f t="shared" si="19"/>
        <v>7.7928163215141644E-3</v>
      </c>
      <c r="R173" t="str">
        <v/>
      </c>
      <c r="S173" t="str">
        <f t="shared" si="20"/>
        <v/>
      </c>
      <c r="T173" t="str">
        <v/>
      </c>
      <c r="U173" t="str">
        <f t="shared" si="21"/>
        <v/>
      </c>
      <c r="V173" t="str">
        <v/>
      </c>
      <c r="W173" t="str">
        <f t="shared" si="22"/>
        <v/>
      </c>
      <c r="X173">
        <v>5.03</v>
      </c>
      <c r="Y173">
        <f t="shared" si="23"/>
        <v>0.5753295668549907</v>
      </c>
    </row>
    <row r="174" spans="7:25" x14ac:dyDescent="0.3">
      <c r="G174" t="str">
        <v>Africa</v>
      </c>
      <c r="H174" t="str">
        <v>Reunion</v>
      </c>
      <c r="I174" s="3" t="str">
        <f>IFERROR((
K174*'Best Country'!$E$12+
M174*'Best Country'!$E$15+
O174*'Best Country'!$E$18+
Q174*'Best Country'!$E$9+
S174*'Best Country'!$E$6+
U174*'Best Country'!$E$21+
W174*'Best Country'!$E$24+
Y174*'Best Country'!$E$27
)/SUM('Best Country'!$E$5:$E$28), "")</f>
        <v/>
      </c>
      <c r="J174" t="str">
        <v/>
      </c>
      <c r="K174" t="str">
        <f t="shared" si="16"/>
        <v/>
      </c>
      <c r="L174" t="str">
        <v/>
      </c>
      <c r="M174" t="str">
        <f t="shared" si="17"/>
        <v/>
      </c>
      <c r="N174" t="str">
        <v/>
      </c>
      <c r="O174" t="str">
        <f t="shared" si="18"/>
        <v/>
      </c>
      <c r="P174" t="str">
        <v/>
      </c>
      <c r="Q174" t="str">
        <f t="shared" si="19"/>
        <v/>
      </c>
      <c r="R174" t="str">
        <v/>
      </c>
      <c r="S174" t="str">
        <f t="shared" si="20"/>
        <v/>
      </c>
      <c r="T174" t="str">
        <v/>
      </c>
      <c r="U174" t="str">
        <f t="shared" si="21"/>
        <v/>
      </c>
      <c r="V174" t="str">
        <v/>
      </c>
      <c r="W174" t="str">
        <f t="shared" si="22"/>
        <v/>
      </c>
      <c r="X174" t="str">
        <v/>
      </c>
      <c r="Y174" t="str">
        <f t="shared" si="23"/>
        <v/>
      </c>
    </row>
    <row r="175" spans="7:25" x14ac:dyDescent="0.3">
      <c r="G175" t="str">
        <v>Europe</v>
      </c>
      <c r="H175" t="str">
        <v>Romania</v>
      </c>
      <c r="I175" s="3">
        <f>IFERROR((
K175*'Best Country'!$E$12+
M175*'Best Country'!$E$15+
O175*'Best Country'!$E$18+
Q175*'Best Country'!$E$9+
S175*'Best Country'!$E$6+
U175*'Best Country'!$E$21+
W175*'Best Country'!$E$24+
Y175*'Best Country'!$E$27
)/SUM('Best Country'!$E$5:$E$28), "")</f>
        <v>0.66207042302777108</v>
      </c>
      <c r="J175">
        <v>0.32303035000000002</v>
      </c>
      <c r="K175">
        <f t="shared" si="16"/>
        <v>0.78883733023057045</v>
      </c>
      <c r="L175">
        <v>0.84499999999999997</v>
      </c>
      <c r="M175">
        <f t="shared" si="17"/>
        <v>0.78253424657534243</v>
      </c>
      <c r="N175">
        <v>75.938000000000002</v>
      </c>
      <c r="O175">
        <f t="shared" si="18"/>
        <v>0.68736397388298554</v>
      </c>
      <c r="P175">
        <v>21334</v>
      </c>
      <c r="Q175">
        <f t="shared" si="19"/>
        <v>8.0678117126528601E-2</v>
      </c>
      <c r="R175">
        <v>26.6</v>
      </c>
      <c r="S175">
        <f t="shared" si="20"/>
        <v>0.81566265060240961</v>
      </c>
      <c r="T175">
        <v>67.400000000000006</v>
      </c>
      <c r="U175">
        <f t="shared" si="21"/>
        <v>0.72907153729071539</v>
      </c>
      <c r="V175">
        <v>56.8</v>
      </c>
      <c r="W175">
        <f t="shared" si="22"/>
        <v>0.63713080168776381</v>
      </c>
      <c r="X175">
        <v>6.5629999999999997</v>
      </c>
      <c r="Y175">
        <f t="shared" si="23"/>
        <v>0.81591337099811678</v>
      </c>
    </row>
    <row r="176" spans="7:25" x14ac:dyDescent="0.3">
      <c r="G176" t="str">
        <v>Asia</v>
      </c>
      <c r="H176" t="str">
        <v>Russia</v>
      </c>
      <c r="I176" s="3">
        <f>IFERROR((
K176*'Best Country'!$E$12+
M176*'Best Country'!$E$15+
O176*'Best Country'!$E$18+
Q176*'Best Country'!$E$9+
S176*'Best Country'!$E$6+
U176*'Best Country'!$E$21+
W176*'Best Country'!$E$24+
Y176*'Best Country'!$E$27
)/SUM('Best Country'!$E$5:$E$28), "")</f>
        <v>0.60070143819423338</v>
      </c>
      <c r="J176">
        <v>0.36068243</v>
      </c>
      <c r="K176">
        <f t="shared" si="16"/>
        <v>0.69216164493539567</v>
      </c>
      <c r="L176">
        <v>0.83199999999999996</v>
      </c>
      <c r="M176">
        <f t="shared" si="17"/>
        <v>0.76027397260273966</v>
      </c>
      <c r="N176">
        <v>73.153999999999996</v>
      </c>
      <c r="O176">
        <f t="shared" si="18"/>
        <v>0.59825886570221465</v>
      </c>
      <c r="P176">
        <v>14420</v>
      </c>
      <c r="Q176">
        <f t="shared" si="19"/>
        <v>5.4123394579979105E-2</v>
      </c>
      <c r="R176">
        <v>26.5</v>
      </c>
      <c r="S176">
        <f t="shared" si="20"/>
        <v>0.81686746987951808</v>
      </c>
      <c r="T176">
        <v>61.6</v>
      </c>
      <c r="U176">
        <f t="shared" si="21"/>
        <v>0.64079147640791478</v>
      </c>
      <c r="V176">
        <v>61.7</v>
      </c>
      <c r="W176">
        <f t="shared" si="22"/>
        <v>0.53375527426160341</v>
      </c>
      <c r="X176">
        <v>5.9450000000000003</v>
      </c>
      <c r="Y176">
        <f t="shared" si="23"/>
        <v>0.7189265536723165</v>
      </c>
    </row>
    <row r="177" spans="7:25" x14ac:dyDescent="0.3">
      <c r="G177" t="str">
        <v>Africa</v>
      </c>
      <c r="H177" t="str">
        <v>Rwanda</v>
      </c>
      <c r="I177" s="3" t="str">
        <f>IFERROR((
K177*'Best Country'!$E$12+
M177*'Best Country'!$E$15+
O177*'Best Country'!$E$18+
Q177*'Best Country'!$E$9+
S177*'Best Country'!$E$6+
U177*'Best Country'!$E$21+
W177*'Best Country'!$E$24+
Y177*'Best Country'!$E$27
)/SUM('Best Country'!$E$5:$E$28), "")</f>
        <v/>
      </c>
      <c r="J177">
        <v>0.43709510000000001</v>
      </c>
      <c r="K177">
        <f t="shared" si="16"/>
        <v>0.49596405804287758</v>
      </c>
      <c r="L177">
        <v>0.57799999999999996</v>
      </c>
      <c r="M177">
        <f t="shared" si="17"/>
        <v>0.32534246575342457</v>
      </c>
      <c r="N177">
        <v>67.784999999999997</v>
      </c>
      <c r="O177">
        <f t="shared" si="18"/>
        <v>0.42641787223146821</v>
      </c>
      <c r="P177">
        <v>1014</v>
      </c>
      <c r="Q177">
        <f t="shared" si="19"/>
        <v>2.6347323787869479E-3</v>
      </c>
      <c r="R177">
        <v>21.4</v>
      </c>
      <c r="S177">
        <f t="shared" si="20"/>
        <v>0.87831325301204821</v>
      </c>
      <c r="T177" t="str">
        <v/>
      </c>
      <c r="U177" t="str">
        <f t="shared" si="21"/>
        <v/>
      </c>
      <c r="V177" t="str">
        <v/>
      </c>
      <c r="W177" t="str">
        <f t="shared" si="22"/>
        <v/>
      </c>
      <c r="X177" t="str">
        <v/>
      </c>
      <c r="Y177" t="str">
        <f t="shared" si="23"/>
        <v/>
      </c>
    </row>
    <row r="178" spans="7:25" x14ac:dyDescent="0.3">
      <c r="G178" t="str">
        <v>North America</v>
      </c>
      <c r="H178" t="str">
        <v>Saint Barthelemy</v>
      </c>
      <c r="I178" s="3" t="str">
        <f>IFERROR((
K178*'Best Country'!$E$12+
M178*'Best Country'!$E$15+
O178*'Best Country'!$E$18+
Q178*'Best Country'!$E$9+
S178*'Best Country'!$E$6+
U178*'Best Country'!$E$21+
W178*'Best Country'!$E$24+
Y178*'Best Country'!$E$27
)/SUM('Best Country'!$E$5:$E$28), "")</f>
        <v/>
      </c>
      <c r="J178" t="str">
        <v/>
      </c>
      <c r="K178" t="str">
        <f t="shared" si="16"/>
        <v/>
      </c>
      <c r="L178" t="str">
        <v/>
      </c>
      <c r="M178" t="str">
        <f t="shared" si="17"/>
        <v/>
      </c>
      <c r="N178" t="str">
        <v/>
      </c>
      <c r="O178" t="str">
        <f t="shared" si="18"/>
        <v/>
      </c>
      <c r="P178" t="str">
        <v/>
      </c>
      <c r="Q178" t="str">
        <f t="shared" si="19"/>
        <v/>
      </c>
      <c r="R178" t="str">
        <v/>
      </c>
      <c r="S178" t="str">
        <f t="shared" si="20"/>
        <v/>
      </c>
      <c r="T178" t="str">
        <v/>
      </c>
      <c r="U178" t="str">
        <f t="shared" si="21"/>
        <v/>
      </c>
      <c r="V178" t="str">
        <v/>
      </c>
      <c r="W178" t="str">
        <f t="shared" si="22"/>
        <v/>
      </c>
      <c r="X178" t="str">
        <v/>
      </c>
      <c r="Y178" t="str">
        <f t="shared" si="23"/>
        <v/>
      </c>
    </row>
    <row r="179" spans="7:25" x14ac:dyDescent="0.3">
      <c r="G179" t="str">
        <v>North America</v>
      </c>
      <c r="H179" t="str">
        <v>Saint Kitts and Nevis</v>
      </c>
      <c r="I179" s="3" t="str">
        <f>IFERROR((
K179*'Best Country'!$E$12+
M179*'Best Country'!$E$15+
O179*'Best Country'!$E$18+
Q179*'Best Country'!$E$9+
S179*'Best Country'!$E$6+
U179*'Best Country'!$E$21+
W179*'Best Country'!$E$24+
Y179*'Best Country'!$E$27
)/SUM('Best Country'!$E$5:$E$28), "")</f>
        <v/>
      </c>
      <c r="J179" t="str">
        <v/>
      </c>
      <c r="K179" t="str">
        <f t="shared" si="16"/>
        <v/>
      </c>
      <c r="L179">
        <v>0.84</v>
      </c>
      <c r="M179">
        <f t="shared" si="17"/>
        <v>0.77397260273972601</v>
      </c>
      <c r="N179">
        <v>72.144999999999996</v>
      </c>
      <c r="O179">
        <f t="shared" si="18"/>
        <v>0.5659646652157212</v>
      </c>
      <c r="P179">
        <v>24061</v>
      </c>
      <c r="Q179">
        <f t="shared" si="19"/>
        <v>9.1151754439869725E-2</v>
      </c>
      <c r="R179" t="str">
        <v/>
      </c>
      <c r="S179" t="str">
        <f t="shared" si="20"/>
        <v/>
      </c>
      <c r="T179" t="str">
        <v/>
      </c>
      <c r="U179" t="str">
        <f t="shared" si="21"/>
        <v/>
      </c>
      <c r="V179" t="str">
        <v/>
      </c>
      <c r="W179" t="str">
        <f t="shared" si="22"/>
        <v/>
      </c>
      <c r="X179" t="str">
        <v/>
      </c>
      <c r="Y179" t="str">
        <f t="shared" si="23"/>
        <v/>
      </c>
    </row>
    <row r="180" spans="7:25" x14ac:dyDescent="0.3">
      <c r="G180" t="str">
        <v>North America</v>
      </c>
      <c r="H180" t="str">
        <v>Saint Lucia</v>
      </c>
      <c r="I180" s="3" t="str">
        <f>IFERROR((
K180*'Best Country'!$E$12+
M180*'Best Country'!$E$15+
O180*'Best Country'!$E$18+
Q180*'Best Country'!$E$9+
S180*'Best Country'!$E$6+
U180*'Best Country'!$E$21+
W180*'Best Country'!$E$24+
Y180*'Best Country'!$E$27
)/SUM('Best Country'!$E$5:$E$28), "")</f>
        <v/>
      </c>
      <c r="J180">
        <v>0.51225065999999997</v>
      </c>
      <c r="K180">
        <f t="shared" si="16"/>
        <v>0.30299423362035915</v>
      </c>
      <c r="L180">
        <v>0.748</v>
      </c>
      <c r="M180">
        <f t="shared" si="17"/>
        <v>0.61643835616438358</v>
      </c>
      <c r="N180">
        <v>72.697000000000003</v>
      </c>
      <c r="O180">
        <f t="shared" si="18"/>
        <v>0.58363205735501211</v>
      </c>
      <c r="P180">
        <v>14610</v>
      </c>
      <c r="Q180">
        <f t="shared" si="19"/>
        <v>5.4853130953112519E-2</v>
      </c>
      <c r="R180" t="str">
        <v/>
      </c>
      <c r="S180" t="str">
        <f t="shared" si="20"/>
        <v/>
      </c>
      <c r="T180" t="str">
        <v/>
      </c>
      <c r="U180" t="str">
        <f t="shared" si="21"/>
        <v/>
      </c>
      <c r="V180" t="str">
        <v/>
      </c>
      <c r="W180" t="str">
        <f t="shared" si="22"/>
        <v/>
      </c>
      <c r="X180" t="str">
        <v/>
      </c>
      <c r="Y180" t="str">
        <f t="shared" si="23"/>
        <v/>
      </c>
    </row>
    <row r="181" spans="7:25" x14ac:dyDescent="0.3">
      <c r="G181" t="str">
        <v>North America</v>
      </c>
      <c r="H181" t="str">
        <v>Saint Martin</v>
      </c>
      <c r="I181" s="3" t="str">
        <f>IFERROR((
K181*'Best Country'!$E$12+
M181*'Best Country'!$E$15+
O181*'Best Country'!$E$18+
Q181*'Best Country'!$E$9+
S181*'Best Country'!$E$6+
U181*'Best Country'!$E$21+
W181*'Best Country'!$E$24+
Y181*'Best Country'!$E$27
)/SUM('Best Country'!$E$5:$E$28), "")</f>
        <v/>
      </c>
      <c r="J181" t="str">
        <v/>
      </c>
      <c r="K181" t="str">
        <f t="shared" si="16"/>
        <v/>
      </c>
      <c r="L181" t="str">
        <v/>
      </c>
      <c r="M181" t="str">
        <f t="shared" si="17"/>
        <v/>
      </c>
      <c r="N181" t="str">
        <v/>
      </c>
      <c r="O181" t="str">
        <f t="shared" si="18"/>
        <v/>
      </c>
      <c r="P181" t="str">
        <v/>
      </c>
      <c r="Q181" t="str">
        <f t="shared" si="19"/>
        <v/>
      </c>
      <c r="R181" t="str">
        <v/>
      </c>
      <c r="S181" t="str">
        <f t="shared" si="20"/>
        <v/>
      </c>
      <c r="T181" t="str">
        <v/>
      </c>
      <c r="U181" t="str">
        <f t="shared" si="21"/>
        <v/>
      </c>
      <c r="V181" t="str">
        <v/>
      </c>
      <c r="W181" t="str">
        <f t="shared" si="22"/>
        <v/>
      </c>
      <c r="X181" t="str">
        <v/>
      </c>
      <c r="Y181" t="str">
        <f t="shared" si="23"/>
        <v/>
      </c>
    </row>
    <row r="182" spans="7:25" x14ac:dyDescent="0.3">
      <c r="G182" t="str">
        <v>North America</v>
      </c>
      <c r="H182" t="str">
        <v>Saint Pierre and Miquelon</v>
      </c>
      <c r="I182" s="3" t="str">
        <f>IFERROR((
K182*'Best Country'!$E$12+
M182*'Best Country'!$E$15+
O182*'Best Country'!$E$18+
Q182*'Best Country'!$E$9+
S182*'Best Country'!$E$6+
U182*'Best Country'!$E$21+
W182*'Best Country'!$E$24+
Y182*'Best Country'!$E$27
)/SUM('Best Country'!$E$5:$E$28), "")</f>
        <v/>
      </c>
      <c r="J182" t="str">
        <v/>
      </c>
      <c r="K182" t="str">
        <f t="shared" si="16"/>
        <v/>
      </c>
      <c r="L182" t="str">
        <v/>
      </c>
      <c r="M182" t="str">
        <f t="shared" si="17"/>
        <v/>
      </c>
      <c r="N182" t="str">
        <v/>
      </c>
      <c r="O182" t="str">
        <f t="shared" si="18"/>
        <v/>
      </c>
      <c r="P182" t="str">
        <v/>
      </c>
      <c r="Q182" t="str">
        <f t="shared" si="19"/>
        <v/>
      </c>
      <c r="R182" t="str">
        <v/>
      </c>
      <c r="S182" t="str">
        <f t="shared" si="20"/>
        <v/>
      </c>
      <c r="T182" t="str">
        <v/>
      </c>
      <c r="U182" t="str">
        <f t="shared" si="21"/>
        <v/>
      </c>
      <c r="V182" t="str">
        <v/>
      </c>
      <c r="W182" t="str">
        <f t="shared" si="22"/>
        <v/>
      </c>
      <c r="X182" t="str">
        <v/>
      </c>
      <c r="Y182" t="str">
        <f t="shared" si="23"/>
        <v/>
      </c>
    </row>
    <row r="183" spans="7:25" x14ac:dyDescent="0.3">
      <c r="G183" t="str">
        <v>North America</v>
      </c>
      <c r="H183" t="str">
        <v>Saint Vincent and the Grenadines</v>
      </c>
      <c r="I183" s="3" t="str">
        <f>IFERROR((
K183*'Best Country'!$E$12+
M183*'Best Country'!$E$15+
O183*'Best Country'!$E$18+
Q183*'Best Country'!$E$9+
S183*'Best Country'!$E$6+
U183*'Best Country'!$E$21+
W183*'Best Country'!$E$24+
Y183*'Best Country'!$E$27
)/SUM('Best Country'!$E$5:$E$28), "")</f>
        <v/>
      </c>
      <c r="J183" t="str">
        <v/>
      </c>
      <c r="K183" t="str">
        <f t="shared" si="16"/>
        <v/>
      </c>
      <c r="L183">
        <v>0.79800000000000004</v>
      </c>
      <c r="M183">
        <f t="shared" si="17"/>
        <v>0.70205479452054809</v>
      </c>
      <c r="N183">
        <v>71.23</v>
      </c>
      <c r="O183">
        <f t="shared" si="18"/>
        <v>0.53667904237613628</v>
      </c>
      <c r="P183">
        <v>12429</v>
      </c>
      <c r="Q183">
        <f t="shared" si="19"/>
        <v>4.6476525533091624E-2</v>
      </c>
      <c r="R183" t="str">
        <v/>
      </c>
      <c r="S183" t="str">
        <f t="shared" si="20"/>
        <v/>
      </c>
      <c r="T183" t="str">
        <v/>
      </c>
      <c r="U183" t="str">
        <f t="shared" si="21"/>
        <v/>
      </c>
      <c r="V183" t="str">
        <v/>
      </c>
      <c r="W183" t="str">
        <f t="shared" si="22"/>
        <v/>
      </c>
      <c r="X183" t="str">
        <v/>
      </c>
      <c r="Y183" t="str">
        <f t="shared" si="23"/>
        <v/>
      </c>
    </row>
    <row r="184" spans="7:25" x14ac:dyDescent="0.3">
      <c r="G184" t="str">
        <v>Oceania</v>
      </c>
      <c r="H184" t="str">
        <v>Samoa</v>
      </c>
      <c r="I184" s="3" t="str">
        <f>IFERROR((
K184*'Best Country'!$E$12+
M184*'Best Country'!$E$15+
O184*'Best Country'!$E$18+
Q184*'Best Country'!$E$9+
S184*'Best Country'!$E$6+
U184*'Best Country'!$E$21+
W184*'Best Country'!$E$24+
Y184*'Best Country'!$E$27
)/SUM('Best Country'!$E$5:$E$28), "")</f>
        <v/>
      </c>
      <c r="J184">
        <v>0.38743453999999999</v>
      </c>
      <c r="K184">
        <f t="shared" si="16"/>
        <v>0.62347278186748822</v>
      </c>
      <c r="L184">
        <v>0.70799999999999996</v>
      </c>
      <c r="M184">
        <f t="shared" si="17"/>
        <v>0.54794520547945202</v>
      </c>
      <c r="N184">
        <v>71.697999999999993</v>
      </c>
      <c r="O184">
        <f t="shared" si="18"/>
        <v>0.55165791832031719</v>
      </c>
      <c r="P184">
        <v>5289</v>
      </c>
      <c r="Q184">
        <f t="shared" si="19"/>
        <v>1.9053800774288698E-2</v>
      </c>
      <c r="R184" t="str">
        <v/>
      </c>
      <c r="S184" t="str">
        <f t="shared" si="20"/>
        <v/>
      </c>
      <c r="T184" t="str">
        <v/>
      </c>
      <c r="U184" t="str">
        <f t="shared" si="21"/>
        <v/>
      </c>
      <c r="V184" t="str">
        <v/>
      </c>
      <c r="W184" t="str">
        <f t="shared" si="22"/>
        <v/>
      </c>
      <c r="X184" t="str">
        <v/>
      </c>
      <c r="Y184" t="str">
        <f t="shared" si="23"/>
        <v/>
      </c>
    </row>
    <row r="185" spans="7:25" x14ac:dyDescent="0.3">
      <c r="G185" t="str">
        <v>Europe</v>
      </c>
      <c r="H185" t="str">
        <v>San Marino</v>
      </c>
      <c r="I185" s="3" t="str">
        <f>IFERROR((
K185*'Best Country'!$E$12+
M185*'Best Country'!$E$15+
O185*'Best Country'!$E$18+
Q185*'Best Country'!$E$9+
S185*'Best Country'!$E$6+
U185*'Best Country'!$E$21+
W185*'Best Country'!$E$24+
Y185*'Best Country'!$E$27
)/SUM('Best Country'!$E$5:$E$28), "")</f>
        <v/>
      </c>
      <c r="J185" t="str">
        <v/>
      </c>
      <c r="K185" t="str">
        <f t="shared" si="16"/>
        <v/>
      </c>
      <c r="L185">
        <v>0.91500000000000004</v>
      </c>
      <c r="M185">
        <f t="shared" si="17"/>
        <v>0.90239726027397271</v>
      </c>
      <c r="N185">
        <v>85.706000000000003</v>
      </c>
      <c r="O185">
        <f t="shared" si="18"/>
        <v>1</v>
      </c>
      <c r="P185">
        <v>60973</v>
      </c>
      <c r="Q185">
        <f t="shared" si="19"/>
        <v>0.23292032815092484</v>
      </c>
      <c r="R185" t="str">
        <v/>
      </c>
      <c r="S185" t="str">
        <f t="shared" si="20"/>
        <v/>
      </c>
      <c r="T185" t="str">
        <v/>
      </c>
      <c r="U185" t="str">
        <f t="shared" si="21"/>
        <v/>
      </c>
      <c r="V185" t="str">
        <v/>
      </c>
      <c r="W185" t="str">
        <f t="shared" si="22"/>
        <v/>
      </c>
      <c r="X185" t="str">
        <v/>
      </c>
      <c r="Y185" t="str">
        <f t="shared" si="23"/>
        <v/>
      </c>
    </row>
    <row r="186" spans="7:25" x14ac:dyDescent="0.3">
      <c r="G186" t="str">
        <v>Africa</v>
      </c>
      <c r="H186" t="str">
        <v>Sao Tome and Principe</v>
      </c>
      <c r="I186" s="3" t="str">
        <f>IFERROR((
K186*'Best Country'!$E$12+
M186*'Best Country'!$E$15+
O186*'Best Country'!$E$18+
Q186*'Best Country'!$E$9+
S186*'Best Country'!$E$6+
U186*'Best Country'!$E$21+
W186*'Best Country'!$E$24+
Y186*'Best Country'!$E$27
)/SUM('Best Country'!$E$5:$E$28), "")</f>
        <v/>
      </c>
      <c r="J186">
        <v>0.40729480000000001</v>
      </c>
      <c r="K186">
        <f t="shared" si="16"/>
        <v>0.57247947032559332</v>
      </c>
      <c r="L186">
        <v>0.63700000000000001</v>
      </c>
      <c r="M186">
        <f t="shared" si="17"/>
        <v>0.42636986301369867</v>
      </c>
      <c r="N186">
        <v>69.718000000000004</v>
      </c>
      <c r="O186">
        <f t="shared" si="18"/>
        <v>0.48828575086416592</v>
      </c>
      <c r="P186">
        <v>3596</v>
      </c>
      <c r="Q186">
        <f t="shared" si="19"/>
        <v>1.2551465617894672E-2</v>
      </c>
      <c r="R186" t="str">
        <v/>
      </c>
      <c r="S186" t="str">
        <f t="shared" si="20"/>
        <v/>
      </c>
      <c r="T186" t="str">
        <v/>
      </c>
      <c r="U186" t="str">
        <f t="shared" si="21"/>
        <v/>
      </c>
      <c r="V186" t="str">
        <v/>
      </c>
      <c r="W186" t="str">
        <f t="shared" si="22"/>
        <v/>
      </c>
      <c r="X186" t="str">
        <v/>
      </c>
      <c r="Y186" t="str">
        <f t="shared" si="23"/>
        <v/>
      </c>
    </row>
    <row r="187" spans="7:25" x14ac:dyDescent="0.3">
      <c r="G187" t="str">
        <v>Asia</v>
      </c>
      <c r="H187" t="str">
        <v>Saudi Arabia</v>
      </c>
      <c r="I187" s="3" t="str">
        <f>IFERROR((
K187*'Best Country'!$E$12+
M187*'Best Country'!$E$15+
O187*'Best Country'!$E$18+
Q187*'Best Country'!$E$9+
S187*'Best Country'!$E$6+
U187*'Best Country'!$E$21+
W187*'Best Country'!$E$24+
Y187*'Best Country'!$E$27
)/SUM('Best Country'!$E$5:$E$28), "")</f>
        <v/>
      </c>
      <c r="J187" t="str">
        <v/>
      </c>
      <c r="K187" t="str">
        <f t="shared" si="16"/>
        <v/>
      </c>
      <c r="L187">
        <v>0.9</v>
      </c>
      <c r="M187">
        <f t="shared" si="17"/>
        <v>0.87671232876712335</v>
      </c>
      <c r="N187">
        <v>78.731999999999999</v>
      </c>
      <c r="O187">
        <f t="shared" si="18"/>
        <v>0.77678914351555484</v>
      </c>
      <c r="P187">
        <v>31353</v>
      </c>
      <c r="Q187">
        <f t="shared" si="19"/>
        <v>0.11915826829717938</v>
      </c>
      <c r="R187">
        <v>28.6</v>
      </c>
      <c r="S187">
        <f t="shared" si="20"/>
        <v>0.79156626506024097</v>
      </c>
      <c r="T187">
        <v>76.3</v>
      </c>
      <c r="U187">
        <f t="shared" si="21"/>
        <v>0.86453576864535764</v>
      </c>
      <c r="V187">
        <v>61.9</v>
      </c>
      <c r="W187">
        <f t="shared" si="22"/>
        <v>0.52953586497890304</v>
      </c>
      <c r="X187">
        <v>6.6</v>
      </c>
      <c r="Y187">
        <f t="shared" si="23"/>
        <v>0.82172002510985565</v>
      </c>
    </row>
    <row r="188" spans="7:25" x14ac:dyDescent="0.3">
      <c r="G188" t="str">
        <v>Africa</v>
      </c>
      <c r="H188" t="str">
        <v>Senegal</v>
      </c>
      <c r="I188" s="3" t="str">
        <f>IFERROR((
K188*'Best Country'!$E$12+
M188*'Best Country'!$E$15+
O188*'Best Country'!$E$18+
Q188*'Best Country'!$E$9+
S188*'Best Country'!$E$6+
U188*'Best Country'!$E$21+
W188*'Best Country'!$E$24+
Y188*'Best Country'!$E$27
)/SUM('Best Country'!$E$5:$E$28), "")</f>
        <v/>
      </c>
      <c r="J188">
        <v>0.36157719999999999</v>
      </c>
      <c r="K188">
        <f t="shared" si="16"/>
        <v>0.68986422861917718</v>
      </c>
      <c r="L188">
        <v>0.53</v>
      </c>
      <c r="M188">
        <f t="shared" si="17"/>
        <v>0.24315068493150688</v>
      </c>
      <c r="N188">
        <v>68.683000000000007</v>
      </c>
      <c r="O188">
        <f t="shared" si="18"/>
        <v>0.45515939060299587</v>
      </c>
      <c r="P188">
        <v>1834</v>
      </c>
      <c r="Q188">
        <f t="shared" si="19"/>
        <v>5.7841209365206174E-3</v>
      </c>
      <c r="R188">
        <v>34</v>
      </c>
      <c r="S188">
        <f t="shared" si="20"/>
        <v>0.72650602409638554</v>
      </c>
      <c r="T188" t="str">
        <v/>
      </c>
      <c r="U188" t="str">
        <f t="shared" si="21"/>
        <v/>
      </c>
      <c r="V188" t="str">
        <v/>
      </c>
      <c r="W188" t="str">
        <f t="shared" si="22"/>
        <v/>
      </c>
      <c r="X188">
        <v>4.8559999999999999</v>
      </c>
      <c r="Y188">
        <f t="shared" si="23"/>
        <v>0.54802259887005655</v>
      </c>
    </row>
    <row r="189" spans="7:25" x14ac:dyDescent="0.3">
      <c r="G189" t="str">
        <v>Europe</v>
      </c>
      <c r="H189" t="str">
        <v>Serbia</v>
      </c>
      <c r="I189" s="3">
        <f>IFERROR((
K189*'Best Country'!$E$12+
M189*'Best Country'!$E$15+
O189*'Best Country'!$E$18+
Q189*'Best Country'!$E$9+
S189*'Best Country'!$E$6+
U189*'Best Country'!$E$21+
W189*'Best Country'!$E$24+
Y189*'Best Country'!$E$27
)/SUM('Best Country'!$E$5:$E$28), "")</f>
        <v>0.65376015859797731</v>
      </c>
      <c r="J189">
        <v>0.32802890000000001</v>
      </c>
      <c r="K189">
        <f t="shared" si="16"/>
        <v>0.77600302607706295</v>
      </c>
      <c r="L189">
        <v>0.83299999999999996</v>
      </c>
      <c r="M189">
        <f t="shared" si="17"/>
        <v>0.76198630136986301</v>
      </c>
      <c r="N189">
        <v>76.769000000000005</v>
      </c>
      <c r="O189">
        <f t="shared" si="18"/>
        <v>0.71396108052746132</v>
      </c>
      <c r="P189">
        <v>13836</v>
      </c>
      <c r="Q189">
        <f t="shared" si="19"/>
        <v>5.1880415412032199E-2</v>
      </c>
      <c r="R189">
        <v>29.1</v>
      </c>
      <c r="S189">
        <f t="shared" si="20"/>
        <v>0.78554216867469884</v>
      </c>
      <c r="T189">
        <v>62.8</v>
      </c>
      <c r="U189">
        <f t="shared" si="21"/>
        <v>0.65905631659056307</v>
      </c>
      <c r="V189">
        <v>52.3</v>
      </c>
      <c r="W189">
        <f t="shared" si="22"/>
        <v>0.73206751054852326</v>
      </c>
      <c r="X189">
        <v>6.6059999999999999</v>
      </c>
      <c r="Y189">
        <f t="shared" si="23"/>
        <v>0.82266164469554304</v>
      </c>
    </row>
    <row r="190" spans="7:25" x14ac:dyDescent="0.3">
      <c r="G190" t="str">
        <v>Africa</v>
      </c>
      <c r="H190" t="str">
        <v>Seychelles</v>
      </c>
      <c r="I190" s="3" t="str">
        <f>IFERROR((
K190*'Best Country'!$E$12+
M190*'Best Country'!$E$15+
O190*'Best Country'!$E$18+
Q190*'Best Country'!$E$9+
S190*'Best Country'!$E$6+
U190*'Best Country'!$E$21+
W190*'Best Country'!$E$24+
Y190*'Best Country'!$E$27
)/SUM('Best Country'!$E$5:$E$28), "")</f>
        <v/>
      </c>
      <c r="J190">
        <v>0.32125320000000002</v>
      </c>
      <c r="K190">
        <f t="shared" si="16"/>
        <v>0.7934003502316519</v>
      </c>
      <c r="L190">
        <v>0.84799999999999998</v>
      </c>
      <c r="M190">
        <f t="shared" si="17"/>
        <v>0.78767123287671237</v>
      </c>
      <c r="N190">
        <v>72.861999999999995</v>
      </c>
      <c r="O190">
        <f t="shared" si="18"/>
        <v>0.58891307130969117</v>
      </c>
      <c r="P190">
        <v>16554</v>
      </c>
      <c r="Q190">
        <f t="shared" si="19"/>
        <v>6.2319486265593312E-2</v>
      </c>
      <c r="R190" t="str">
        <v/>
      </c>
      <c r="S190" t="str">
        <f t="shared" si="20"/>
        <v/>
      </c>
      <c r="T190" t="str">
        <v/>
      </c>
      <c r="U190" t="str">
        <f t="shared" si="21"/>
        <v/>
      </c>
      <c r="V190" t="str">
        <v/>
      </c>
      <c r="W190" t="str">
        <f t="shared" si="22"/>
        <v/>
      </c>
      <c r="X190" t="str">
        <v/>
      </c>
      <c r="Y190" t="str">
        <f t="shared" si="23"/>
        <v/>
      </c>
    </row>
    <row r="191" spans="7:25" x14ac:dyDescent="0.3">
      <c r="G191" t="str">
        <v>Africa</v>
      </c>
      <c r="H191" t="str">
        <v>Sierra Leone</v>
      </c>
      <c r="I191" s="3" t="str">
        <f>IFERROR((
K191*'Best Country'!$E$12+
M191*'Best Country'!$E$15+
O191*'Best Country'!$E$18+
Q191*'Best Country'!$E$9+
S191*'Best Country'!$E$6+
U191*'Best Country'!$E$21+
W191*'Best Country'!$E$24+
Y191*'Best Country'!$E$27
)/SUM('Best Country'!$E$5:$E$28), "")</f>
        <v/>
      </c>
      <c r="J191">
        <v>0.35690176000000001</v>
      </c>
      <c r="K191">
        <f t="shared" si="16"/>
        <v>0.7018689137801688</v>
      </c>
      <c r="L191">
        <v>0.46700000000000003</v>
      </c>
      <c r="M191">
        <f t="shared" si="17"/>
        <v>0.13527397260273977</v>
      </c>
      <c r="N191">
        <v>61.786000000000001</v>
      </c>
      <c r="O191">
        <f t="shared" si="18"/>
        <v>0.23441300729740103</v>
      </c>
      <c r="P191">
        <v>951</v>
      </c>
      <c r="Q191">
        <f t="shared" si="19"/>
        <v>2.3927671603269219E-3</v>
      </c>
      <c r="R191" t="str">
        <v/>
      </c>
      <c r="S191" t="str">
        <f t="shared" si="20"/>
        <v/>
      </c>
      <c r="T191" t="str">
        <v/>
      </c>
      <c r="U191" t="str">
        <f t="shared" si="21"/>
        <v/>
      </c>
      <c r="V191" t="str">
        <v/>
      </c>
      <c r="W191" t="str">
        <f t="shared" si="22"/>
        <v/>
      </c>
      <c r="X191">
        <v>2.9980000000000002</v>
      </c>
      <c r="Y191">
        <f t="shared" si="23"/>
        <v>0.25643440050219712</v>
      </c>
    </row>
    <row r="192" spans="7:25" x14ac:dyDescent="0.3">
      <c r="G192" t="str">
        <v>Asia</v>
      </c>
      <c r="H192" t="str">
        <v>Singapore</v>
      </c>
      <c r="I192" s="3" t="str">
        <f>IFERROR((
K192*'Best Country'!$E$12+
M192*'Best Country'!$E$15+
O192*'Best Country'!$E$18+
Q192*'Best Country'!$E$9+
S192*'Best Country'!$E$6+
U192*'Best Country'!$E$21+
W192*'Best Country'!$E$24+
Y192*'Best Country'!$E$27
)/SUM('Best Country'!$E$5:$E$28), "")</f>
        <v/>
      </c>
      <c r="J192" t="str">
        <v/>
      </c>
      <c r="K192" t="str">
        <f t="shared" si="16"/>
        <v/>
      </c>
      <c r="L192">
        <v>0.94599999999999995</v>
      </c>
      <c r="M192">
        <f t="shared" si="17"/>
        <v>0.95547945205479445</v>
      </c>
      <c r="N192">
        <v>83.736000000000004</v>
      </c>
      <c r="O192">
        <f t="shared" si="18"/>
        <v>0.93694789399564715</v>
      </c>
      <c r="P192">
        <v>96201</v>
      </c>
      <c r="Q192">
        <f t="shared" si="19"/>
        <v>0.36822113316536592</v>
      </c>
      <c r="R192">
        <v>80.900000000000006</v>
      </c>
      <c r="S192">
        <f t="shared" si="20"/>
        <v>0.16144578313253</v>
      </c>
      <c r="T192">
        <v>77.400000000000006</v>
      </c>
      <c r="U192">
        <f t="shared" si="21"/>
        <v>0.88127853881278539</v>
      </c>
      <c r="V192">
        <v>71.8</v>
      </c>
      <c r="W192">
        <f t="shared" si="22"/>
        <v>0.32067510548523215</v>
      </c>
      <c r="X192">
        <v>6.5650000000000004</v>
      </c>
      <c r="Y192">
        <f t="shared" si="23"/>
        <v>0.81622724419334602</v>
      </c>
    </row>
    <row r="193" spans="7:25" x14ac:dyDescent="0.3">
      <c r="G193" t="str">
        <v>North America</v>
      </c>
      <c r="H193" t="str">
        <v>Sint Maarten</v>
      </c>
      <c r="I193" s="3" t="str">
        <f>IFERROR((
K193*'Best Country'!$E$12+
M193*'Best Country'!$E$15+
O193*'Best Country'!$E$18+
Q193*'Best Country'!$E$9+
S193*'Best Country'!$E$6+
U193*'Best Country'!$E$21+
W193*'Best Country'!$E$24+
Y193*'Best Country'!$E$27
)/SUM('Best Country'!$E$5:$E$28), "")</f>
        <v/>
      </c>
      <c r="J193" t="str">
        <v/>
      </c>
      <c r="K193" t="str">
        <f t="shared" si="16"/>
        <v/>
      </c>
      <c r="L193" t="str">
        <v/>
      </c>
      <c r="M193" t="str">
        <f t="shared" si="17"/>
        <v/>
      </c>
      <c r="N193" t="str">
        <v/>
      </c>
      <c r="O193" t="str">
        <f t="shared" si="18"/>
        <v/>
      </c>
      <c r="P193">
        <v>38188</v>
      </c>
      <c r="Q193">
        <f t="shared" si="19"/>
        <v>0.1454095741412155</v>
      </c>
      <c r="R193" t="str">
        <v/>
      </c>
      <c r="S193" t="str">
        <f t="shared" si="20"/>
        <v/>
      </c>
      <c r="T193" t="str">
        <v/>
      </c>
      <c r="U193" t="str">
        <f t="shared" si="21"/>
        <v/>
      </c>
      <c r="V193" t="str">
        <v/>
      </c>
      <c r="W193" t="str">
        <f t="shared" si="22"/>
        <v/>
      </c>
      <c r="X193" t="str">
        <v/>
      </c>
      <c r="Y193" t="str">
        <f t="shared" si="23"/>
        <v/>
      </c>
    </row>
    <row r="194" spans="7:25" x14ac:dyDescent="0.3">
      <c r="G194" t="str">
        <v>Europe</v>
      </c>
      <c r="H194" t="str">
        <v>Slovakia</v>
      </c>
      <c r="I194" s="3">
        <f>IFERROR((
K194*'Best Country'!$E$12+
M194*'Best Country'!$E$15+
O194*'Best Country'!$E$18+
Q194*'Best Country'!$E$9+
S194*'Best Country'!$E$6+
U194*'Best Country'!$E$21+
W194*'Best Country'!$E$24+
Y194*'Best Country'!$E$27
)/SUM('Best Country'!$E$5:$E$28), "")</f>
        <v>0.6879490735226339</v>
      </c>
      <c r="J194">
        <v>0.24078926</v>
      </c>
      <c r="K194">
        <f t="shared" si="16"/>
        <v>1</v>
      </c>
      <c r="L194">
        <v>0.88</v>
      </c>
      <c r="M194">
        <f t="shared" si="17"/>
        <v>0.84246575342465757</v>
      </c>
      <c r="N194">
        <v>78.340999999999994</v>
      </c>
      <c r="O194">
        <f t="shared" si="18"/>
        <v>0.76427474075022372</v>
      </c>
      <c r="P194">
        <v>26856</v>
      </c>
      <c r="Q194">
        <f t="shared" si="19"/>
        <v>0.10188656056043753</v>
      </c>
      <c r="R194">
        <v>33.299999999999997</v>
      </c>
      <c r="S194">
        <f t="shared" si="20"/>
        <v>0.73493975903614461</v>
      </c>
      <c r="T194">
        <v>69</v>
      </c>
      <c r="U194">
        <f t="shared" si="21"/>
        <v>0.75342465753424659</v>
      </c>
      <c r="V194">
        <v>58.2</v>
      </c>
      <c r="W194">
        <f t="shared" si="22"/>
        <v>0.60759493670886067</v>
      </c>
      <c r="X194">
        <v>6.2210000000000001</v>
      </c>
      <c r="Y194">
        <f t="shared" si="23"/>
        <v>0.76224105461393599</v>
      </c>
    </row>
    <row r="195" spans="7:25" x14ac:dyDescent="0.3">
      <c r="G195" t="str">
        <v>Europe</v>
      </c>
      <c r="H195" t="str">
        <v>Slovenia</v>
      </c>
      <c r="I195" s="3">
        <f>IFERROR((
K195*'Best Country'!$E$12+
M195*'Best Country'!$E$15+
O195*'Best Country'!$E$18+
Q195*'Best Country'!$E$9+
S195*'Best Country'!$E$6+
U195*'Best Country'!$E$21+
W195*'Best Country'!$E$24+
Y195*'Best Country'!$E$27
)/SUM('Best Country'!$E$5:$E$28), "")</f>
        <v>0.7284165156076533</v>
      </c>
      <c r="J195">
        <v>0.24305065000000001</v>
      </c>
      <c r="K195">
        <f t="shared" si="16"/>
        <v>0.99419364274245525</v>
      </c>
      <c r="L195">
        <v>0.93100000000000005</v>
      </c>
      <c r="M195">
        <f t="shared" si="17"/>
        <v>0.92979452054794531</v>
      </c>
      <c r="N195">
        <v>81.602999999999994</v>
      </c>
      <c r="O195">
        <f t="shared" si="18"/>
        <v>0.86867878632697448</v>
      </c>
      <c r="P195">
        <v>35532</v>
      </c>
      <c r="Q195">
        <f t="shared" si="19"/>
        <v>0.1352086277883611</v>
      </c>
      <c r="R195">
        <v>37.6</v>
      </c>
      <c r="S195">
        <f t="shared" si="20"/>
        <v>0.68313253012048192</v>
      </c>
      <c r="T195">
        <v>75.599999999999994</v>
      </c>
      <c r="U195">
        <f t="shared" si="21"/>
        <v>0.85388127853881268</v>
      </c>
      <c r="V195">
        <v>66.3</v>
      </c>
      <c r="W195">
        <f t="shared" si="22"/>
        <v>0.43670886075949378</v>
      </c>
      <c r="X195">
        <v>6.7919999999999998</v>
      </c>
      <c r="Y195">
        <f t="shared" si="23"/>
        <v>0.85185185185185186</v>
      </c>
    </row>
    <row r="196" spans="7:25" x14ac:dyDescent="0.3">
      <c r="G196" t="str">
        <v>Oceania</v>
      </c>
      <c r="H196" t="str">
        <v>Solomon Islands</v>
      </c>
      <c r="I196" s="3" t="str">
        <f>IFERROR((
K196*'Best Country'!$E$12+
M196*'Best Country'!$E$15+
O196*'Best Country'!$E$18+
Q196*'Best Country'!$E$9+
S196*'Best Country'!$E$6+
U196*'Best Country'!$E$21+
W196*'Best Country'!$E$24+
Y196*'Best Country'!$E$27
)/SUM('Best Country'!$E$5:$E$28), "")</f>
        <v/>
      </c>
      <c r="J196">
        <v>0.37054925999999999</v>
      </c>
      <c r="K196">
        <f t="shared" si="16"/>
        <v>0.6668275185885647</v>
      </c>
      <c r="L196">
        <v>0.58399999999999996</v>
      </c>
      <c r="M196">
        <f t="shared" si="17"/>
        <v>0.33561643835616434</v>
      </c>
      <c r="N196">
        <v>70.528000000000006</v>
      </c>
      <c r="O196">
        <f t="shared" si="18"/>
        <v>0.51421072845986437</v>
      </c>
      <c r="P196">
        <v>2263</v>
      </c>
      <c r="Q196">
        <f t="shared" si="19"/>
        <v>7.4317888527007927E-3</v>
      </c>
      <c r="R196" t="str">
        <v/>
      </c>
      <c r="S196" t="str">
        <f t="shared" si="20"/>
        <v/>
      </c>
      <c r="T196" t="str">
        <v/>
      </c>
      <c r="U196" t="str">
        <f t="shared" si="21"/>
        <v/>
      </c>
      <c r="V196" t="str">
        <v/>
      </c>
      <c r="W196" t="str">
        <f t="shared" si="22"/>
        <v/>
      </c>
      <c r="X196" t="str">
        <v/>
      </c>
      <c r="Y196" t="str">
        <f t="shared" si="23"/>
        <v/>
      </c>
    </row>
    <row r="197" spans="7:25" x14ac:dyDescent="0.3">
      <c r="G197" t="str">
        <v>Africa</v>
      </c>
      <c r="H197" t="str">
        <v>Somalia</v>
      </c>
      <c r="I197" s="3" t="str">
        <f>IFERROR((
K197*'Best Country'!$E$12+
M197*'Best Country'!$E$15+
O197*'Best Country'!$E$18+
Q197*'Best Country'!$E$9+
S197*'Best Country'!$E$6+
U197*'Best Country'!$E$21+
W197*'Best Country'!$E$24+
Y197*'Best Country'!$E$27
)/SUM('Best Country'!$E$5:$E$28), "")</f>
        <v/>
      </c>
      <c r="J197" t="str">
        <v/>
      </c>
      <c r="K197" t="str">
        <f t="shared" si="16"/>
        <v/>
      </c>
      <c r="L197">
        <v>0.40400000000000003</v>
      </c>
      <c r="M197">
        <f t="shared" si="17"/>
        <v>2.7397260273972629E-2</v>
      </c>
      <c r="N197">
        <v>58.816000000000003</v>
      </c>
      <c r="O197">
        <f t="shared" si="18"/>
        <v>0.13935475611317372</v>
      </c>
      <c r="P197">
        <v>661</v>
      </c>
      <c r="Q197">
        <f t="shared" si="19"/>
        <v>1.2789590118601364E-3</v>
      </c>
      <c r="R197" t="str">
        <v/>
      </c>
      <c r="S197" t="str">
        <f t="shared" si="20"/>
        <v/>
      </c>
      <c r="T197" t="str">
        <v/>
      </c>
      <c r="U197" t="str">
        <f t="shared" si="21"/>
        <v/>
      </c>
      <c r="V197" t="str">
        <v/>
      </c>
      <c r="W197" t="str">
        <f t="shared" si="22"/>
        <v/>
      </c>
      <c r="X197">
        <v>4.3470000000000004</v>
      </c>
      <c r="Y197">
        <f t="shared" si="23"/>
        <v>0.46814187068424368</v>
      </c>
    </row>
    <row r="198" spans="7:25" x14ac:dyDescent="0.3">
      <c r="G198" t="str">
        <v>Africa</v>
      </c>
      <c r="H198" t="str">
        <v>South Africa</v>
      </c>
      <c r="I198" s="3">
        <f>IFERROR((
K198*'Best Country'!$E$12+
M198*'Best Country'!$E$15+
O198*'Best Country'!$E$18+
Q198*'Best Country'!$E$9+
S198*'Best Country'!$E$6+
U198*'Best Country'!$E$21+
W198*'Best Country'!$E$24+
Y198*'Best Country'!$E$27
)/SUM('Best Country'!$E$5:$E$28), "")</f>
        <v>0.39987669692153616</v>
      </c>
      <c r="J198">
        <v>0.63025719999999996</v>
      </c>
      <c r="K198">
        <f t="shared" ref="K198:K238" si="24">IFERROR(1-(J198-J$3)/(J$2-J$3), "")</f>
        <v>0</v>
      </c>
      <c r="L198">
        <v>0.74099999999999999</v>
      </c>
      <c r="M198">
        <f t="shared" ref="M198:M238" si="25">IFERROR((L198-L$3)/(L$2-L$3), "")</f>
        <v>0.60445205479452058</v>
      </c>
      <c r="N198">
        <v>66.138999999999996</v>
      </c>
      <c r="O198">
        <f t="shared" ref="O198:O238" si="26">IFERROR((N198-N$3)/(N$2-N$3), "")</f>
        <v>0.37373575726539471</v>
      </c>
      <c r="P198">
        <v>6338</v>
      </c>
      <c r="Q198">
        <f t="shared" ref="Q198:Q238" si="27">IFERROR((P198-P$3)/(P$2-P$3), "")</f>
        <v>2.3082713697535794E-2</v>
      </c>
      <c r="R198">
        <v>23.3</v>
      </c>
      <c r="S198">
        <f t="shared" ref="S198:S238" si="28">IFERROR(1-(R198-R$3)/(R$2-R$3), "")</f>
        <v>0.85542168674698793</v>
      </c>
      <c r="T198">
        <v>25.4</v>
      </c>
      <c r="U198">
        <f t="shared" ref="U198:U238" si="29">IFERROR((T198-T$3)/(T$2-T$3), "")</f>
        <v>8.980213089802129E-2</v>
      </c>
      <c r="V198">
        <v>64</v>
      </c>
      <c r="W198">
        <f t="shared" ref="W198:W238" si="30">IFERROR(1-(V198-V$3)/(V$2-V$3), "")</f>
        <v>0.48523206751054859</v>
      </c>
      <c r="X198">
        <v>5.2130000000000001</v>
      </c>
      <c r="Y198">
        <f t="shared" ref="Y198:Y238" si="31">IFERROR((X198-X$3)/(X$2-X$3), "")</f>
        <v>0.60404896421845578</v>
      </c>
    </row>
    <row r="199" spans="7:25" x14ac:dyDescent="0.3">
      <c r="G199" t="str">
        <v>Asia</v>
      </c>
      <c r="H199" t="str">
        <v>South Korea</v>
      </c>
      <c r="I199" s="3">
        <f>IFERROR((
K199*'Best Country'!$E$12+
M199*'Best Country'!$E$15+
O199*'Best Country'!$E$18+
Q199*'Best Country'!$E$9+
S199*'Best Country'!$E$6+
U199*'Best Country'!$E$21+
W199*'Best Country'!$E$24+
Y199*'Best Country'!$E$27
)/SUM('Best Country'!$E$5:$E$28), "")</f>
        <v>0.65906273541140303</v>
      </c>
      <c r="J199">
        <v>0.32906574</v>
      </c>
      <c r="K199">
        <f t="shared" si="24"/>
        <v>0.77334083005651244</v>
      </c>
      <c r="L199">
        <v>0.93700000000000006</v>
      </c>
      <c r="M199">
        <f t="shared" si="25"/>
        <v>0.94006849315068508</v>
      </c>
      <c r="N199">
        <v>84.328999999999994</v>
      </c>
      <c r="O199">
        <f t="shared" si="26"/>
        <v>0.95592753808731246</v>
      </c>
      <c r="P199">
        <v>34651</v>
      </c>
      <c r="Q199">
        <f t="shared" si="27"/>
        <v>0.13182495544767406</v>
      </c>
      <c r="R199">
        <v>42.9</v>
      </c>
      <c r="S199">
        <f t="shared" si="28"/>
        <v>0.61927710843373496</v>
      </c>
      <c r="T199">
        <v>73.099999999999994</v>
      </c>
      <c r="U199">
        <f t="shared" si="29"/>
        <v>0.81582952815829513</v>
      </c>
      <c r="V199">
        <v>82.8</v>
      </c>
      <c r="W199">
        <f t="shared" si="30"/>
        <v>8.8607594936708889E-2</v>
      </c>
      <c r="X199">
        <v>6.0380000000000003</v>
      </c>
      <c r="Y199">
        <f t="shared" si="31"/>
        <v>0.73352165725047092</v>
      </c>
    </row>
    <row r="200" spans="7:25" x14ac:dyDescent="0.3">
      <c r="G200" t="str">
        <v>Africa</v>
      </c>
      <c r="H200" t="str">
        <v>South Sudan</v>
      </c>
      <c r="I200" s="3" t="str">
        <f>IFERROR((
K200*'Best Country'!$E$12+
M200*'Best Country'!$E$15+
O200*'Best Country'!$E$18+
Q200*'Best Country'!$E$9+
S200*'Best Country'!$E$6+
U200*'Best Country'!$E$21+
W200*'Best Country'!$E$24+
Y200*'Best Country'!$E$27
)/SUM('Best Country'!$E$5:$E$28), "")</f>
        <v/>
      </c>
      <c r="J200">
        <v>0.44047811999999997</v>
      </c>
      <c r="K200">
        <f t="shared" si="24"/>
        <v>0.48727779749984046</v>
      </c>
      <c r="L200">
        <v>0.38800000000000001</v>
      </c>
      <c r="M200">
        <f t="shared" si="25"/>
        <v>0</v>
      </c>
      <c r="N200">
        <v>57.616999999999997</v>
      </c>
      <c r="O200">
        <f t="shared" si="26"/>
        <v>0.10097938804250398</v>
      </c>
      <c r="P200">
        <v>328</v>
      </c>
      <c r="Q200">
        <f t="shared" si="27"/>
        <v>0</v>
      </c>
      <c r="R200" t="str">
        <v/>
      </c>
      <c r="S200" t="str">
        <f t="shared" si="28"/>
        <v/>
      </c>
      <c r="T200" t="str">
        <v/>
      </c>
      <c r="U200" t="str">
        <f t="shared" si="29"/>
        <v/>
      </c>
      <c r="V200" t="str">
        <v/>
      </c>
      <c r="W200" t="str">
        <f t="shared" si="30"/>
        <v/>
      </c>
      <c r="X200" t="str">
        <v/>
      </c>
      <c r="Y200" t="str">
        <f t="shared" si="31"/>
        <v/>
      </c>
    </row>
    <row r="201" spans="7:25" x14ac:dyDescent="0.3">
      <c r="G201" t="str">
        <v>Europe</v>
      </c>
      <c r="H201" t="str">
        <v>Spain</v>
      </c>
      <c r="I201" s="3">
        <f>IFERROR((
K201*'Best Country'!$E$12+
M201*'Best Country'!$E$15+
O201*'Best Country'!$E$18+
Q201*'Best Country'!$E$9+
S201*'Best Country'!$E$6+
U201*'Best Country'!$E$21+
W201*'Best Country'!$E$24+
Y201*'Best Country'!$E$27
)/SUM('Best Country'!$E$5:$E$28), "")</f>
        <v>0.6648302468955668</v>
      </c>
      <c r="J201">
        <v>0.33579419999999999</v>
      </c>
      <c r="K201">
        <f t="shared" si="24"/>
        <v>0.75606479958273332</v>
      </c>
      <c r="L201">
        <v>0.91800000000000004</v>
      </c>
      <c r="M201">
        <f t="shared" si="25"/>
        <v>0.90753424657534254</v>
      </c>
      <c r="N201">
        <v>83.67</v>
      </c>
      <c r="O201">
        <f t="shared" si="26"/>
        <v>0.9348354884137754</v>
      </c>
      <c r="P201">
        <v>37576</v>
      </c>
      <c r="Q201">
        <f t="shared" si="27"/>
        <v>0.14305905487617526</v>
      </c>
      <c r="R201">
        <v>37.700000000000003</v>
      </c>
      <c r="S201">
        <f t="shared" si="28"/>
        <v>0.68192771084337345</v>
      </c>
      <c r="T201">
        <v>62.8</v>
      </c>
      <c r="U201">
        <f t="shared" si="29"/>
        <v>0.65905631659056307</v>
      </c>
      <c r="V201">
        <v>77.3</v>
      </c>
      <c r="W201">
        <f t="shared" si="30"/>
        <v>0.20464135021097052</v>
      </c>
      <c r="X201">
        <v>6.4660000000000002</v>
      </c>
      <c r="Y201">
        <f t="shared" si="31"/>
        <v>0.80069052102950411</v>
      </c>
    </row>
    <row r="202" spans="7:25" x14ac:dyDescent="0.3">
      <c r="G202" t="str">
        <v>Asia</v>
      </c>
      <c r="H202" t="str">
        <v>Sri Lanka</v>
      </c>
      <c r="I202" s="3">
        <f>IFERROR((
K202*'Best Country'!$E$12+
M202*'Best Country'!$E$15+
O202*'Best Country'!$E$18+
Q202*'Best Country'!$E$9+
S202*'Best Country'!$E$6+
U202*'Best Country'!$E$21+
W202*'Best Country'!$E$24+
Y202*'Best Country'!$E$27
)/SUM('Best Country'!$E$5:$E$28), "")</f>
        <v>0.51382281669352603</v>
      </c>
      <c r="J202">
        <v>0.37663775999999999</v>
      </c>
      <c r="K202">
        <f t="shared" si="24"/>
        <v>0.65119465288978606</v>
      </c>
      <c r="L202">
        <v>0.77600000000000002</v>
      </c>
      <c r="M202">
        <f t="shared" si="25"/>
        <v>0.66438356164383572</v>
      </c>
      <c r="N202">
        <v>77.483000000000004</v>
      </c>
      <c r="O202">
        <f t="shared" si="26"/>
        <v>0.73681346818589177</v>
      </c>
      <c r="P202">
        <v>3632</v>
      </c>
      <c r="Q202">
        <f t="shared" si="27"/>
        <v>1.2689731457014687E-2</v>
      </c>
      <c r="R202">
        <v>21.1</v>
      </c>
      <c r="S202">
        <f t="shared" si="28"/>
        <v>0.88192771084337351</v>
      </c>
      <c r="T202">
        <v>57.7</v>
      </c>
      <c r="U202">
        <f t="shared" si="29"/>
        <v>0.58143074581430743</v>
      </c>
      <c r="V202">
        <v>71.400000000000006</v>
      </c>
      <c r="W202">
        <f t="shared" si="30"/>
        <v>0.32911392405063278</v>
      </c>
      <c r="X202">
        <v>3.891</v>
      </c>
      <c r="Y202">
        <f t="shared" si="31"/>
        <v>0.39657878217200254</v>
      </c>
    </row>
    <row r="203" spans="7:25" x14ac:dyDescent="0.3">
      <c r="G203" t="str">
        <v>Africa</v>
      </c>
      <c r="H203" t="str">
        <v>Sudan</v>
      </c>
      <c r="I203" s="3" t="str">
        <f>IFERROR((
K203*'Best Country'!$E$12+
M203*'Best Country'!$E$15+
O203*'Best Country'!$E$18+
Q203*'Best Country'!$E$9+
S203*'Best Country'!$E$6+
U203*'Best Country'!$E$21+
W203*'Best Country'!$E$24+
Y203*'Best Country'!$E$27
)/SUM('Best Country'!$E$5:$E$28), "")</f>
        <v/>
      </c>
      <c r="J203">
        <v>0.34242942999999998</v>
      </c>
      <c r="K203">
        <f t="shared" si="24"/>
        <v>0.73902814696377839</v>
      </c>
      <c r="L203">
        <v>0.51100000000000001</v>
      </c>
      <c r="M203">
        <f t="shared" si="25"/>
        <v>0.21061643835616439</v>
      </c>
      <c r="N203">
        <v>66.331000000000003</v>
      </c>
      <c r="O203">
        <f t="shared" si="26"/>
        <v>0.37988093713993087</v>
      </c>
      <c r="P203">
        <v>610</v>
      </c>
      <c r="Q203">
        <f t="shared" si="27"/>
        <v>1.0830824064401155E-3</v>
      </c>
      <c r="R203" t="str">
        <v/>
      </c>
      <c r="S203" t="str">
        <f t="shared" si="28"/>
        <v/>
      </c>
      <c r="T203" t="str">
        <v/>
      </c>
      <c r="U203" t="str">
        <f t="shared" si="29"/>
        <v/>
      </c>
      <c r="V203" t="str">
        <v/>
      </c>
      <c r="W203" t="str">
        <f t="shared" si="30"/>
        <v/>
      </c>
      <c r="X203" t="str">
        <v/>
      </c>
      <c r="Y203" t="str">
        <f t="shared" si="31"/>
        <v/>
      </c>
    </row>
    <row r="204" spans="7:25" x14ac:dyDescent="0.3">
      <c r="G204" t="str">
        <v>South America</v>
      </c>
      <c r="H204" t="str">
        <v>Suriname</v>
      </c>
      <c r="I204" s="3" t="str">
        <f>IFERROR((
K204*'Best Country'!$E$12+
M204*'Best Country'!$E$15+
O204*'Best Country'!$E$18+
Q204*'Best Country'!$E$9+
S204*'Best Country'!$E$6+
U204*'Best Country'!$E$21+
W204*'Best Country'!$E$24+
Y204*'Best Country'!$E$27
)/SUM('Best Country'!$E$5:$E$28), "")</f>
        <v/>
      </c>
      <c r="J204">
        <v>0.39179897000000002</v>
      </c>
      <c r="K204">
        <f t="shared" si="24"/>
        <v>0.61226664767323324</v>
      </c>
      <c r="L204">
        <v>0.72199999999999998</v>
      </c>
      <c r="M204">
        <f t="shared" si="25"/>
        <v>0.57191780821917804</v>
      </c>
      <c r="N204">
        <v>73.631</v>
      </c>
      <c r="O204">
        <f t="shared" si="26"/>
        <v>0.6135257969530149</v>
      </c>
      <c r="P204">
        <v>7042</v>
      </c>
      <c r="Q204">
        <f t="shared" si="27"/>
        <v>2.5786578995882752E-2</v>
      </c>
      <c r="R204" t="str">
        <v/>
      </c>
      <c r="S204" t="str">
        <f t="shared" si="28"/>
        <v/>
      </c>
      <c r="T204" t="str">
        <v/>
      </c>
      <c r="U204" t="str">
        <f t="shared" si="29"/>
        <v/>
      </c>
      <c r="V204" t="str">
        <v/>
      </c>
      <c r="W204" t="str">
        <f t="shared" si="30"/>
        <v/>
      </c>
      <c r="X204" t="str">
        <v/>
      </c>
      <c r="Y204" t="str">
        <f t="shared" si="31"/>
        <v/>
      </c>
    </row>
    <row r="205" spans="7:25" x14ac:dyDescent="0.3">
      <c r="G205" t="str">
        <v>Europe</v>
      </c>
      <c r="H205" t="str">
        <v>Sweden</v>
      </c>
      <c r="I205" s="3">
        <f>IFERROR((
K205*'Best Country'!$E$12+
M205*'Best Country'!$E$15+
O205*'Best Country'!$E$18+
Q205*'Best Country'!$E$9+
S205*'Best Country'!$E$6+
U205*'Best Country'!$E$21+
W205*'Best Country'!$E$24+
Y205*'Best Country'!$E$27
)/SUM('Best Country'!$E$5:$E$28), "")</f>
        <v>0.70828436010305462</v>
      </c>
      <c r="J205">
        <v>0.31608360000000002</v>
      </c>
      <c r="K205">
        <f t="shared" si="24"/>
        <v>0.80667384329503466</v>
      </c>
      <c r="L205">
        <v>0.95899999999999996</v>
      </c>
      <c r="M205">
        <f t="shared" si="25"/>
        <v>0.97773972602739723</v>
      </c>
      <c r="N205">
        <v>83.262</v>
      </c>
      <c r="O205">
        <f t="shared" si="26"/>
        <v>0.92177698118038653</v>
      </c>
      <c r="P205">
        <v>58208</v>
      </c>
      <c r="Q205">
        <f t="shared" si="27"/>
        <v>0.22230074356295704</v>
      </c>
      <c r="R205">
        <v>44.9</v>
      </c>
      <c r="S205">
        <f t="shared" si="28"/>
        <v>0.59518072289156632</v>
      </c>
      <c r="T205">
        <v>51.9</v>
      </c>
      <c r="U205">
        <f t="shared" si="29"/>
        <v>0.49315068493150682</v>
      </c>
      <c r="V205">
        <v>68.599999999999994</v>
      </c>
      <c r="W205">
        <f t="shared" si="30"/>
        <v>0.38818565400843896</v>
      </c>
      <c r="X205">
        <v>7.3449999999999998</v>
      </c>
      <c r="Y205">
        <f t="shared" si="31"/>
        <v>0.93863779033270556</v>
      </c>
    </row>
    <row r="206" spans="7:25" x14ac:dyDescent="0.3">
      <c r="G206" t="str">
        <v>Europe</v>
      </c>
      <c r="H206" t="str">
        <v>Switzerland</v>
      </c>
      <c r="I206" s="3">
        <f>IFERROR((
K206*'Best Country'!$E$12+
M206*'Best Country'!$E$15+
O206*'Best Country'!$E$18+
Q206*'Best Country'!$E$9+
S206*'Best Country'!$E$6+
U206*'Best Country'!$E$21+
W206*'Best Country'!$E$24+
Y206*'Best Country'!$E$27
)/SUM('Best Country'!$E$5:$E$28), "")</f>
        <v>0.6992219854181595</v>
      </c>
      <c r="J206">
        <v>0.33824313</v>
      </c>
      <c r="K206">
        <f t="shared" si="24"/>
        <v>0.74977691360166898</v>
      </c>
      <c r="L206">
        <v>0.97</v>
      </c>
      <c r="M206">
        <f t="shared" si="25"/>
        <v>0.99657534246575341</v>
      </c>
      <c r="N206">
        <v>83.953999999999994</v>
      </c>
      <c r="O206">
        <f t="shared" si="26"/>
        <v>0.94392523364485947</v>
      </c>
      <c r="P206">
        <v>105619</v>
      </c>
      <c r="Q206">
        <f t="shared" si="27"/>
        <v>0.40439301296626312</v>
      </c>
      <c r="R206">
        <v>82.3</v>
      </c>
      <c r="S206">
        <f t="shared" si="28"/>
        <v>0.14457831325301207</v>
      </c>
      <c r="T206">
        <v>73.3</v>
      </c>
      <c r="U206">
        <f t="shared" si="29"/>
        <v>0.81887366818873664</v>
      </c>
      <c r="V206">
        <v>70.8</v>
      </c>
      <c r="W206">
        <f t="shared" si="30"/>
        <v>0.34177215189873422</v>
      </c>
      <c r="X206">
        <v>6.9349999999999996</v>
      </c>
      <c r="Y206">
        <f t="shared" si="31"/>
        <v>0.87429378531073443</v>
      </c>
    </row>
    <row r="207" spans="7:25" x14ac:dyDescent="0.3">
      <c r="G207" t="str">
        <v>Asia</v>
      </c>
      <c r="H207" t="str">
        <v>Syria</v>
      </c>
      <c r="I207" s="3" t="str">
        <f>IFERROR((
K207*'Best Country'!$E$12+
M207*'Best Country'!$E$15+
O207*'Best Country'!$E$18+
Q207*'Best Country'!$E$9+
S207*'Best Country'!$E$6+
U207*'Best Country'!$E$21+
W207*'Best Country'!$E$24+
Y207*'Best Country'!$E$27
)/SUM('Best Country'!$E$5:$E$28), "")</f>
        <v/>
      </c>
      <c r="J207">
        <v>0.26628074000000002</v>
      </c>
      <c r="K207">
        <f t="shared" si="24"/>
        <v>0.93454793737322761</v>
      </c>
      <c r="L207">
        <v>0.56399999999999995</v>
      </c>
      <c r="M207">
        <f t="shared" si="25"/>
        <v>0.30136986301369856</v>
      </c>
      <c r="N207">
        <v>72.12</v>
      </c>
      <c r="O207">
        <f t="shared" si="26"/>
        <v>0.5651645115862246</v>
      </c>
      <c r="P207">
        <v>1133</v>
      </c>
      <c r="Q207">
        <f t="shared" si="27"/>
        <v>3.0917777914336629E-3</v>
      </c>
      <c r="R207">
        <v>15</v>
      </c>
      <c r="S207">
        <f t="shared" si="28"/>
        <v>0.95542168674698802</v>
      </c>
      <c r="T207" t="str">
        <v/>
      </c>
      <c r="U207" t="str">
        <f t="shared" si="29"/>
        <v/>
      </c>
      <c r="V207" t="str">
        <v/>
      </c>
      <c r="W207" t="str">
        <f t="shared" si="30"/>
        <v/>
      </c>
      <c r="X207" t="str">
        <v/>
      </c>
      <c r="Y207" t="str">
        <f t="shared" si="31"/>
        <v/>
      </c>
    </row>
    <row r="208" spans="7:25" x14ac:dyDescent="0.3">
      <c r="G208" t="str">
        <v>Asia</v>
      </c>
      <c r="H208" t="str">
        <v>Taiwan</v>
      </c>
      <c r="I208" s="3" t="str">
        <f>IFERROR((
K208*'Best Country'!$E$12+
M208*'Best Country'!$E$15+
O208*'Best Country'!$E$18+
Q208*'Best Country'!$E$9+
S208*'Best Country'!$E$6+
U208*'Best Country'!$E$21+
W208*'Best Country'!$E$24+
Y208*'Best Country'!$E$27
)/SUM('Best Country'!$E$5:$E$28), "")</f>
        <v/>
      </c>
      <c r="J208">
        <v>0.31566375000000002</v>
      </c>
      <c r="K208">
        <f t="shared" si="24"/>
        <v>0.80775185243745606</v>
      </c>
      <c r="L208" t="str">
        <v/>
      </c>
      <c r="M208" t="str">
        <f t="shared" si="25"/>
        <v/>
      </c>
      <c r="N208" t="str">
        <v/>
      </c>
      <c r="O208" t="str">
        <f t="shared" si="26"/>
        <v/>
      </c>
      <c r="P208">
        <v>34824</v>
      </c>
      <c r="Q208">
        <f t="shared" si="27"/>
        <v>0.1324893996190008</v>
      </c>
      <c r="R208">
        <v>34.200000000000003</v>
      </c>
      <c r="S208">
        <f t="shared" si="28"/>
        <v>0.72409638554216871</v>
      </c>
      <c r="T208">
        <v>83</v>
      </c>
      <c r="U208">
        <f t="shared" si="29"/>
        <v>0.9665144596651446</v>
      </c>
      <c r="V208">
        <v>87</v>
      </c>
      <c r="W208">
        <f t="shared" si="30"/>
        <v>0</v>
      </c>
      <c r="X208">
        <v>6.6689999999999996</v>
      </c>
      <c r="Y208">
        <f t="shared" si="31"/>
        <v>0.83254865034526049</v>
      </c>
    </row>
    <row r="209" spans="7:25" x14ac:dyDescent="0.3">
      <c r="G209" t="str">
        <v>Asia</v>
      </c>
      <c r="H209" t="str">
        <v>Tajikistan</v>
      </c>
      <c r="I209" s="3" t="str">
        <f>IFERROR((
K209*'Best Country'!$E$12+
M209*'Best Country'!$E$15+
O209*'Best Country'!$E$18+
Q209*'Best Country'!$E$9+
S209*'Best Country'!$E$6+
U209*'Best Country'!$E$21+
W209*'Best Country'!$E$24+
Y209*'Best Country'!$E$27
)/SUM('Best Country'!$E$5:$E$28), "")</f>
        <v/>
      </c>
      <c r="J209">
        <v>0.33995535999999998</v>
      </c>
      <c r="K209">
        <f t="shared" si="24"/>
        <v>0.74538058254551065</v>
      </c>
      <c r="L209">
        <v>0.69099999999999995</v>
      </c>
      <c r="M209">
        <f t="shared" si="25"/>
        <v>0.51883561643835607</v>
      </c>
      <c r="N209">
        <v>71.790000000000006</v>
      </c>
      <c r="O209">
        <f t="shared" si="26"/>
        <v>0.55460248367686604</v>
      </c>
      <c r="P209">
        <v>1375</v>
      </c>
      <c r="Q209">
        <f t="shared" si="27"/>
        <v>4.0212314877404289E-3</v>
      </c>
      <c r="R209">
        <v>18.600000000000001</v>
      </c>
      <c r="S209">
        <f t="shared" si="28"/>
        <v>0.91204819277108429</v>
      </c>
      <c r="T209" t="str">
        <v/>
      </c>
      <c r="U209" t="str">
        <f t="shared" si="29"/>
        <v/>
      </c>
      <c r="V209" t="str">
        <v/>
      </c>
      <c r="W209" t="str">
        <f t="shared" si="30"/>
        <v/>
      </c>
      <c r="X209">
        <v>5.4109999999999996</v>
      </c>
      <c r="Y209">
        <f t="shared" si="31"/>
        <v>0.63512241054613927</v>
      </c>
    </row>
    <row r="210" spans="7:25" x14ac:dyDescent="0.3">
      <c r="G210" t="str">
        <v>Africa</v>
      </c>
      <c r="H210" t="str">
        <v>Tanzania</v>
      </c>
      <c r="I210" s="3" t="str">
        <f>IFERROR((
K210*'Best Country'!$E$12+
M210*'Best Country'!$E$15+
O210*'Best Country'!$E$18+
Q210*'Best Country'!$E$9+
S210*'Best Country'!$E$6+
U210*'Best Country'!$E$21+
W210*'Best Country'!$E$24+
Y210*'Best Country'!$E$27
)/SUM('Best Country'!$E$5:$E$28), "")</f>
        <v/>
      </c>
      <c r="J210">
        <v>0.4049123</v>
      </c>
      <c r="K210">
        <f t="shared" si="24"/>
        <v>0.57859679027752575</v>
      </c>
      <c r="L210">
        <v>0.55500000000000005</v>
      </c>
      <c r="M210">
        <f t="shared" si="25"/>
        <v>0.28595890410958913</v>
      </c>
      <c r="N210">
        <v>66.995000000000005</v>
      </c>
      <c r="O210">
        <f t="shared" si="26"/>
        <v>0.40113301753936759</v>
      </c>
      <c r="P210">
        <v>1219</v>
      </c>
      <c r="Q210">
        <f t="shared" si="27"/>
        <v>3.4220795182203652E-3</v>
      </c>
      <c r="R210">
        <v>17.100000000000001</v>
      </c>
      <c r="S210">
        <f t="shared" si="28"/>
        <v>0.9301204819277108</v>
      </c>
      <c r="T210" t="str">
        <v/>
      </c>
      <c r="U210" t="str">
        <f t="shared" si="29"/>
        <v/>
      </c>
      <c r="V210" t="str">
        <v/>
      </c>
      <c r="W210" t="str">
        <f t="shared" si="30"/>
        <v/>
      </c>
      <c r="X210">
        <v>3.8</v>
      </c>
      <c r="Y210">
        <f t="shared" si="31"/>
        <v>0.38229755178907721</v>
      </c>
    </row>
    <row r="211" spans="7:25" x14ac:dyDescent="0.3">
      <c r="G211" t="str">
        <v>Asia</v>
      </c>
      <c r="H211" t="str">
        <v>Thailand</v>
      </c>
      <c r="I211" s="3">
        <f>IFERROR((
K211*'Best Country'!$E$12+
M211*'Best Country'!$E$15+
O211*'Best Country'!$E$18+
Q211*'Best Country'!$E$9+
S211*'Best Country'!$E$6+
U211*'Best Country'!$E$21+
W211*'Best Country'!$E$24+
Y211*'Best Country'!$E$27
)/SUM('Best Country'!$E$5:$E$28), "")</f>
        <v>0.59546002476362847</v>
      </c>
      <c r="J211">
        <v>0.33494889999999999</v>
      </c>
      <c r="K211">
        <f t="shared" si="24"/>
        <v>0.75823519645801918</v>
      </c>
      <c r="L211">
        <v>0.79800000000000004</v>
      </c>
      <c r="M211">
        <f t="shared" si="25"/>
        <v>0.70205479452054809</v>
      </c>
      <c r="N211">
        <v>76.412000000000006</v>
      </c>
      <c r="O211">
        <f t="shared" si="26"/>
        <v>0.70253488669824615</v>
      </c>
      <c r="P211">
        <v>7627</v>
      </c>
      <c r="Q211">
        <f t="shared" si="27"/>
        <v>2.8033398881582992E-2</v>
      </c>
      <c r="R211">
        <v>25.6</v>
      </c>
      <c r="S211">
        <f t="shared" si="28"/>
        <v>0.82771084337349399</v>
      </c>
      <c r="T211">
        <v>63.2</v>
      </c>
      <c r="U211">
        <f t="shared" si="29"/>
        <v>0.66514459665144599</v>
      </c>
      <c r="V211">
        <v>77.3</v>
      </c>
      <c r="W211">
        <f t="shared" si="30"/>
        <v>0.20464135021097052</v>
      </c>
      <c r="X211">
        <v>6.2220000000000004</v>
      </c>
      <c r="Y211">
        <f t="shared" si="31"/>
        <v>0.76239799121155061</v>
      </c>
    </row>
    <row r="212" spans="7:25" x14ac:dyDescent="0.3">
      <c r="G212" t="str">
        <v>Asia</v>
      </c>
      <c r="H212" t="str">
        <v>Timor-Leste</v>
      </c>
      <c r="I212" s="3" t="str">
        <f>IFERROR((
K212*'Best Country'!$E$12+
M212*'Best Country'!$E$15+
O212*'Best Country'!$E$18+
Q212*'Best Country'!$E$9+
S212*'Best Country'!$E$6+
U212*'Best Country'!$E$21+
W212*'Best Country'!$E$24+
Y212*'Best Country'!$E$27
)/SUM('Best Country'!$E$5:$E$28), "")</f>
        <v/>
      </c>
      <c r="J212">
        <v>0.28652927</v>
      </c>
      <c r="K212">
        <f t="shared" si="24"/>
        <v>0.88255770166858916</v>
      </c>
      <c r="L212">
        <v>0.63400000000000001</v>
      </c>
      <c r="M212">
        <f t="shared" si="25"/>
        <v>0.42123287671232879</v>
      </c>
      <c r="N212">
        <v>67.688999999999993</v>
      </c>
      <c r="O212">
        <f t="shared" si="26"/>
        <v>0.42334528229420015</v>
      </c>
      <c r="P212">
        <v>1491</v>
      </c>
      <c r="Q212">
        <f t="shared" si="27"/>
        <v>4.466754747127143E-3</v>
      </c>
      <c r="R212" t="str">
        <v/>
      </c>
      <c r="S212" t="str">
        <f t="shared" si="28"/>
        <v/>
      </c>
      <c r="T212" t="str">
        <v/>
      </c>
      <c r="U212" t="str">
        <f t="shared" si="29"/>
        <v/>
      </c>
      <c r="V212" t="str">
        <v/>
      </c>
      <c r="W212" t="str">
        <f t="shared" si="30"/>
        <v/>
      </c>
      <c r="X212" t="str">
        <v/>
      </c>
      <c r="Y212" t="str">
        <f t="shared" si="31"/>
        <v/>
      </c>
    </row>
    <row r="213" spans="7:25" x14ac:dyDescent="0.3">
      <c r="G213" t="str">
        <v>Africa</v>
      </c>
      <c r="H213" t="str">
        <v>Togo</v>
      </c>
      <c r="I213" s="3" t="str">
        <f>IFERROR((
K213*'Best Country'!$E$12+
M213*'Best Country'!$E$15+
O213*'Best Country'!$E$18+
Q213*'Best Country'!$E$9+
S213*'Best Country'!$E$6+
U213*'Best Country'!$E$21+
W213*'Best Country'!$E$24+
Y213*'Best Country'!$E$27
)/SUM('Best Country'!$E$5:$E$28), "")</f>
        <v/>
      </c>
      <c r="J213">
        <v>0.37858006</v>
      </c>
      <c r="K213">
        <f t="shared" si="24"/>
        <v>0.64620759285090323</v>
      </c>
      <c r="L213">
        <v>0.57099999999999995</v>
      </c>
      <c r="M213">
        <f t="shared" si="25"/>
        <v>0.31335616438356156</v>
      </c>
      <c r="N213">
        <v>62.738999999999997</v>
      </c>
      <c r="O213">
        <f t="shared" si="26"/>
        <v>0.26491486365382133</v>
      </c>
      <c r="P213">
        <v>1031</v>
      </c>
      <c r="Q213">
        <f t="shared" si="27"/>
        <v>2.7000245805936214E-3</v>
      </c>
      <c r="R213" t="str">
        <v/>
      </c>
      <c r="S213" t="str">
        <f t="shared" si="28"/>
        <v/>
      </c>
      <c r="T213" t="str">
        <v/>
      </c>
      <c r="U213" t="str">
        <f t="shared" si="29"/>
        <v/>
      </c>
      <c r="V213" t="str">
        <v/>
      </c>
      <c r="W213" t="str">
        <f t="shared" si="30"/>
        <v/>
      </c>
      <c r="X213">
        <v>4.3150000000000004</v>
      </c>
      <c r="Y213">
        <f t="shared" si="31"/>
        <v>0.46311989956057764</v>
      </c>
    </row>
    <row r="214" spans="7:25" x14ac:dyDescent="0.3">
      <c r="G214" t="str">
        <v>Oceania</v>
      </c>
      <c r="H214" t="str">
        <v>Tokelau</v>
      </c>
      <c r="I214" s="3" t="str">
        <f>IFERROR((
K214*'Best Country'!$E$12+
M214*'Best Country'!$E$15+
O214*'Best Country'!$E$18+
Q214*'Best Country'!$E$9+
S214*'Best Country'!$E$6+
U214*'Best Country'!$E$21+
W214*'Best Country'!$E$24+
Y214*'Best Country'!$E$27
)/SUM('Best Country'!$E$5:$E$28), "")</f>
        <v/>
      </c>
      <c r="J214" t="str">
        <v/>
      </c>
      <c r="K214" t="str">
        <f t="shared" si="24"/>
        <v/>
      </c>
      <c r="L214" t="str">
        <v/>
      </c>
      <c r="M214" t="str">
        <f t="shared" si="25"/>
        <v/>
      </c>
      <c r="N214" t="str">
        <v/>
      </c>
      <c r="O214" t="str">
        <f t="shared" si="26"/>
        <v/>
      </c>
      <c r="P214" t="str">
        <v/>
      </c>
      <c r="Q214" t="str">
        <f t="shared" si="27"/>
        <v/>
      </c>
      <c r="R214" t="str">
        <v/>
      </c>
      <c r="S214" t="str">
        <f t="shared" si="28"/>
        <v/>
      </c>
      <c r="T214" t="str">
        <v/>
      </c>
      <c r="U214" t="str">
        <f t="shared" si="29"/>
        <v/>
      </c>
      <c r="V214" t="str">
        <v/>
      </c>
      <c r="W214" t="str">
        <f t="shared" si="30"/>
        <v/>
      </c>
      <c r="X214" t="str">
        <v/>
      </c>
      <c r="Y214" t="str">
        <f t="shared" si="31"/>
        <v/>
      </c>
    </row>
    <row r="215" spans="7:25" x14ac:dyDescent="0.3">
      <c r="G215" t="str">
        <v>Oceania</v>
      </c>
      <c r="H215" t="str">
        <v>Tonga</v>
      </c>
      <c r="I215" s="3" t="str">
        <f>IFERROR((
K215*'Best Country'!$E$12+
M215*'Best Country'!$E$15+
O215*'Best Country'!$E$18+
Q215*'Best Country'!$E$9+
S215*'Best Country'!$E$6+
U215*'Best Country'!$E$21+
W215*'Best Country'!$E$24+
Y215*'Best Country'!$E$27
)/SUM('Best Country'!$E$5:$E$28), "")</f>
        <v/>
      </c>
      <c r="J215">
        <v>0.27095764999999999</v>
      </c>
      <c r="K215">
        <f t="shared" si="24"/>
        <v>0.92253947783224466</v>
      </c>
      <c r="L215">
        <v>0.76900000000000002</v>
      </c>
      <c r="M215">
        <f t="shared" si="25"/>
        <v>0.6523972602739726</v>
      </c>
      <c r="N215">
        <v>72.894999999999996</v>
      </c>
      <c r="O215">
        <f t="shared" si="26"/>
        <v>0.58996927410062705</v>
      </c>
      <c r="P215">
        <v>5475</v>
      </c>
      <c r="Q215">
        <f t="shared" si="27"/>
        <v>1.9768174276408774E-2</v>
      </c>
      <c r="R215" t="str">
        <v/>
      </c>
      <c r="S215" t="str">
        <f t="shared" si="28"/>
        <v/>
      </c>
      <c r="T215" t="str">
        <v/>
      </c>
      <c r="U215" t="str">
        <f t="shared" si="29"/>
        <v/>
      </c>
      <c r="V215" t="str">
        <v/>
      </c>
      <c r="W215" t="str">
        <f t="shared" si="30"/>
        <v/>
      </c>
      <c r="X215" t="str">
        <v/>
      </c>
      <c r="Y215" t="str">
        <f t="shared" si="31"/>
        <v/>
      </c>
    </row>
    <row r="216" spans="7:25" x14ac:dyDescent="0.3">
      <c r="G216" t="str">
        <v>North America</v>
      </c>
      <c r="H216" t="str">
        <v>Trinidad and Tobago</v>
      </c>
      <c r="I216" s="3" t="str">
        <f>IFERROR((
K216*'Best Country'!$E$12+
M216*'Best Country'!$E$15+
O216*'Best Country'!$E$18+
Q216*'Best Country'!$E$9+
S216*'Best Country'!$E$6+
U216*'Best Country'!$E$21+
W216*'Best Country'!$E$24+
Y216*'Best Country'!$E$27
)/SUM('Best Country'!$E$5:$E$28), "")</f>
        <v/>
      </c>
      <c r="J216" t="str">
        <v/>
      </c>
      <c r="K216" t="str">
        <f t="shared" si="24"/>
        <v/>
      </c>
      <c r="L216">
        <v>0.80700000000000005</v>
      </c>
      <c r="M216">
        <f t="shared" si="25"/>
        <v>0.71746575342465768</v>
      </c>
      <c r="N216">
        <v>73.489999999999995</v>
      </c>
      <c r="O216">
        <f t="shared" si="26"/>
        <v>0.60901293048265237</v>
      </c>
      <c r="P216">
        <v>17514</v>
      </c>
      <c r="Q216">
        <f t="shared" si="27"/>
        <v>6.6006575308793711E-2</v>
      </c>
      <c r="R216">
        <v>33.9</v>
      </c>
      <c r="S216">
        <f t="shared" si="28"/>
        <v>0.72771084337349401</v>
      </c>
      <c r="T216" t="str">
        <v/>
      </c>
      <c r="U216" t="str">
        <f t="shared" si="29"/>
        <v/>
      </c>
      <c r="V216" t="str">
        <v/>
      </c>
      <c r="W216" t="str">
        <f t="shared" si="30"/>
        <v/>
      </c>
      <c r="X216">
        <v>5.9050000000000002</v>
      </c>
      <c r="Y216">
        <f t="shared" si="31"/>
        <v>0.71264908976773389</v>
      </c>
    </row>
    <row r="217" spans="7:25" x14ac:dyDescent="0.3">
      <c r="G217" t="str">
        <v>Africa</v>
      </c>
      <c r="H217" t="str">
        <v>Tunisia</v>
      </c>
      <c r="I217" s="3">
        <f>IFERROR((
K217*'Best Country'!$E$12+
M217*'Best Country'!$E$15+
O217*'Best Country'!$E$18+
Q217*'Best Country'!$E$9+
S217*'Best Country'!$E$6+
U217*'Best Country'!$E$21+
W217*'Best Country'!$E$24+
Y217*'Best Country'!$E$27
)/SUM('Best Country'!$E$5:$E$28), "")</f>
        <v>0.55363651844230399</v>
      </c>
      <c r="J217">
        <v>0.33716425</v>
      </c>
      <c r="K217">
        <f t="shared" si="24"/>
        <v>0.75254705175476055</v>
      </c>
      <c r="L217">
        <v>0.746</v>
      </c>
      <c r="M217">
        <f t="shared" si="25"/>
        <v>0.61301369863013699</v>
      </c>
      <c r="N217">
        <v>76.507999999999996</v>
      </c>
      <c r="O217">
        <f t="shared" si="26"/>
        <v>0.70560747663551382</v>
      </c>
      <c r="P217">
        <v>4558</v>
      </c>
      <c r="Q217">
        <f t="shared" si="27"/>
        <v>1.6246236096601734E-2</v>
      </c>
      <c r="R217">
        <v>17.8</v>
      </c>
      <c r="S217">
        <f t="shared" si="28"/>
        <v>0.92168674698795183</v>
      </c>
      <c r="T217">
        <v>55</v>
      </c>
      <c r="U217">
        <f t="shared" si="29"/>
        <v>0.54033485540334858</v>
      </c>
      <c r="V217">
        <v>57.2</v>
      </c>
      <c r="W217">
        <f t="shared" si="30"/>
        <v>0.62869198312236285</v>
      </c>
      <c r="X217">
        <v>4.5519999999999996</v>
      </c>
      <c r="Y217">
        <f t="shared" si="31"/>
        <v>0.50031387319522913</v>
      </c>
    </row>
    <row r="218" spans="7:25" x14ac:dyDescent="0.3">
      <c r="G218" t="str">
        <v>Asia</v>
      </c>
      <c r="H218" t="str">
        <v>Turkey</v>
      </c>
      <c r="I218" s="3">
        <f>IFERROR((
K218*'Best Country'!$E$12+
M218*'Best Country'!$E$15+
O218*'Best Country'!$E$18+
Q218*'Best Country'!$E$9+
S218*'Best Country'!$E$6+
U218*'Best Country'!$E$21+
W218*'Best Country'!$E$24+
Y218*'Best Country'!$E$27
)/SUM('Best Country'!$E$5:$E$28), "")</f>
        <v>0.55860506657955922</v>
      </c>
      <c r="J218">
        <v>0.44467676</v>
      </c>
      <c r="K218">
        <f t="shared" si="24"/>
        <v>0.47649734661086607</v>
      </c>
      <c r="L218">
        <v>0.85299999999999998</v>
      </c>
      <c r="M218">
        <f t="shared" si="25"/>
        <v>0.79623287671232879</v>
      </c>
      <c r="N218">
        <v>77.156000000000006</v>
      </c>
      <c r="O218">
        <f t="shared" si="26"/>
        <v>0.72634745871207285</v>
      </c>
      <c r="P218">
        <v>16393</v>
      </c>
      <c r="Q218">
        <f t="shared" si="27"/>
        <v>6.1701130707306581E-2</v>
      </c>
      <c r="R218">
        <v>27.9</v>
      </c>
      <c r="S218">
        <f t="shared" si="28"/>
        <v>0.8</v>
      </c>
      <c r="T218">
        <v>58.6</v>
      </c>
      <c r="U218">
        <f t="shared" si="29"/>
        <v>0.59512937595129378</v>
      </c>
      <c r="V218">
        <v>71.3</v>
      </c>
      <c r="W218">
        <f t="shared" si="30"/>
        <v>0.33122362869198319</v>
      </c>
      <c r="X218">
        <v>5.2619999999999996</v>
      </c>
      <c r="Y218">
        <f t="shared" si="31"/>
        <v>0.61173885750156931</v>
      </c>
    </row>
    <row r="219" spans="7:25" x14ac:dyDescent="0.3">
      <c r="G219" t="str">
        <v>Asia</v>
      </c>
      <c r="H219" t="str">
        <v>Turkmenistan</v>
      </c>
      <c r="I219" s="3" t="str">
        <f>IFERROR((
K219*'Best Country'!$E$12+
M219*'Best Country'!$E$15+
O219*'Best Country'!$E$18+
Q219*'Best Country'!$E$9+
S219*'Best Country'!$E$6+
U219*'Best Country'!$E$21+
W219*'Best Country'!$E$24+
Y219*'Best Country'!$E$27
)/SUM('Best Country'!$E$5:$E$28), "")</f>
        <v/>
      </c>
      <c r="J219" t="str">
        <v/>
      </c>
      <c r="K219" t="str">
        <f t="shared" si="24"/>
        <v/>
      </c>
      <c r="L219">
        <v>0.76400000000000001</v>
      </c>
      <c r="M219">
        <f t="shared" si="25"/>
        <v>0.64383561643835618</v>
      </c>
      <c r="N219">
        <v>70.072999999999993</v>
      </c>
      <c r="O219">
        <f t="shared" si="26"/>
        <v>0.49964793240302108</v>
      </c>
      <c r="P219">
        <v>11689</v>
      </c>
      <c r="Q219">
        <f t="shared" si="27"/>
        <v>4.3634394395624651E-2</v>
      </c>
      <c r="R219" t="str">
        <v/>
      </c>
      <c r="S219" t="str">
        <f t="shared" si="28"/>
        <v/>
      </c>
      <c r="T219" t="str">
        <v/>
      </c>
      <c r="U219" t="str">
        <f t="shared" si="29"/>
        <v/>
      </c>
      <c r="V219" t="str">
        <v/>
      </c>
      <c r="W219" t="str">
        <f t="shared" si="30"/>
        <v/>
      </c>
      <c r="X219" t="str">
        <v/>
      </c>
      <c r="Y219" t="str">
        <f t="shared" si="31"/>
        <v/>
      </c>
    </row>
    <row r="220" spans="7:25" x14ac:dyDescent="0.3">
      <c r="G220" t="str">
        <v>North America</v>
      </c>
      <c r="H220" t="str">
        <v>Turks and Caicos Islands</v>
      </c>
      <c r="I220" s="3" t="str">
        <f>IFERROR((
K220*'Best Country'!$E$12+
M220*'Best Country'!$E$15+
O220*'Best Country'!$E$18+
Q220*'Best Country'!$E$9+
S220*'Best Country'!$E$6+
U220*'Best Country'!$E$21+
W220*'Best Country'!$E$24+
Y220*'Best Country'!$E$27
)/SUM('Best Country'!$E$5:$E$28), "")</f>
        <v/>
      </c>
      <c r="J220" t="str">
        <v/>
      </c>
      <c r="K220" t="str">
        <f t="shared" si="24"/>
        <v/>
      </c>
      <c r="L220" t="str">
        <v/>
      </c>
      <c r="M220" t="str">
        <f t="shared" si="25"/>
        <v/>
      </c>
      <c r="N220" t="str">
        <v/>
      </c>
      <c r="O220" t="str">
        <f t="shared" si="26"/>
        <v/>
      </c>
      <c r="P220">
        <v>29923</v>
      </c>
      <c r="Q220">
        <f t="shared" si="27"/>
        <v>0.11366604190991213</v>
      </c>
      <c r="R220" t="str">
        <v/>
      </c>
      <c r="S220" t="str">
        <f t="shared" si="28"/>
        <v/>
      </c>
      <c r="T220" t="str">
        <v/>
      </c>
      <c r="U220" t="str">
        <f t="shared" si="29"/>
        <v/>
      </c>
      <c r="V220" t="str">
        <v/>
      </c>
      <c r="W220" t="str">
        <f t="shared" si="30"/>
        <v/>
      </c>
      <c r="X220" t="str">
        <v/>
      </c>
      <c r="Y220" t="str">
        <f t="shared" si="31"/>
        <v/>
      </c>
    </row>
    <row r="221" spans="7:25" x14ac:dyDescent="0.3">
      <c r="G221" t="str">
        <v>Oceania</v>
      </c>
      <c r="H221" t="str">
        <v>Tuvalu</v>
      </c>
      <c r="I221" s="3" t="str">
        <f>IFERROR((
K221*'Best Country'!$E$12+
M221*'Best Country'!$E$15+
O221*'Best Country'!$E$18+
Q221*'Best Country'!$E$9+
S221*'Best Country'!$E$6+
U221*'Best Country'!$E$21+
W221*'Best Country'!$E$24+
Y221*'Best Country'!$E$27
)/SUM('Best Country'!$E$5:$E$28), "")</f>
        <v/>
      </c>
      <c r="J221">
        <v>0.39139032000000001</v>
      </c>
      <c r="K221">
        <f t="shared" si="24"/>
        <v>0.61331589963476829</v>
      </c>
      <c r="L221">
        <v>0.68899999999999995</v>
      </c>
      <c r="M221">
        <f t="shared" si="25"/>
        <v>0.51541095890410948</v>
      </c>
      <c r="N221">
        <v>67.105000000000004</v>
      </c>
      <c r="O221">
        <f t="shared" si="26"/>
        <v>0.40465369350915376</v>
      </c>
      <c r="P221">
        <v>6848</v>
      </c>
      <c r="Q221">
        <f t="shared" si="27"/>
        <v>2.5041479751736005E-2</v>
      </c>
      <c r="R221" t="str">
        <v/>
      </c>
      <c r="S221" t="str">
        <f t="shared" si="28"/>
        <v/>
      </c>
      <c r="T221" t="str">
        <v/>
      </c>
      <c r="U221" t="str">
        <f t="shared" si="29"/>
        <v/>
      </c>
      <c r="V221" t="str">
        <v/>
      </c>
      <c r="W221" t="str">
        <f t="shared" si="30"/>
        <v/>
      </c>
      <c r="X221" t="str">
        <v/>
      </c>
      <c r="Y221" t="str">
        <f t="shared" si="31"/>
        <v/>
      </c>
    </row>
    <row r="222" spans="7:25" x14ac:dyDescent="0.3">
      <c r="G222" t="str">
        <v>Africa</v>
      </c>
      <c r="H222" t="str">
        <v>Uganda</v>
      </c>
      <c r="I222" s="3" t="str">
        <f>IFERROR((
K222*'Best Country'!$E$12+
M222*'Best Country'!$E$15+
O222*'Best Country'!$E$18+
Q222*'Best Country'!$E$9+
S222*'Best Country'!$E$6+
U222*'Best Country'!$E$21+
W222*'Best Country'!$E$24+
Y222*'Best Country'!$E$27
)/SUM('Best Country'!$E$5:$E$28), "")</f>
        <v/>
      </c>
      <c r="J222">
        <v>0.42702177000000002</v>
      </c>
      <c r="K222">
        <f t="shared" si="24"/>
        <v>0.52182839491229993</v>
      </c>
      <c r="L222">
        <v>0.58199999999999996</v>
      </c>
      <c r="M222">
        <f t="shared" si="25"/>
        <v>0.33219178082191775</v>
      </c>
      <c r="N222">
        <v>68.251999999999995</v>
      </c>
      <c r="O222">
        <f t="shared" si="26"/>
        <v>0.4413647420304696</v>
      </c>
      <c r="P222">
        <v>1251</v>
      </c>
      <c r="Q222">
        <f t="shared" si="27"/>
        <v>3.5449824863270449E-3</v>
      </c>
      <c r="R222">
        <v>18.100000000000001</v>
      </c>
      <c r="S222">
        <f t="shared" si="28"/>
        <v>0.91807228915662653</v>
      </c>
      <c r="T222" t="str">
        <v/>
      </c>
      <c r="U222" t="str">
        <f t="shared" si="29"/>
        <v/>
      </c>
      <c r="V222" t="str">
        <v/>
      </c>
      <c r="W222" t="str">
        <f t="shared" si="30"/>
        <v/>
      </c>
      <c r="X222">
        <v>4.4610000000000003</v>
      </c>
      <c r="Y222">
        <f t="shared" si="31"/>
        <v>0.48603264281230391</v>
      </c>
    </row>
    <row r="223" spans="7:25" x14ac:dyDescent="0.3">
      <c r="G223" t="str">
        <v>Europe</v>
      </c>
      <c r="H223" t="str">
        <v>Ukraine</v>
      </c>
      <c r="I223" s="3">
        <f>IFERROR((
K223*'Best Country'!$E$12+
M223*'Best Country'!$E$15+
O223*'Best Country'!$E$18+
Q223*'Best Country'!$E$9+
S223*'Best Country'!$E$6+
U223*'Best Country'!$E$21+
W223*'Best Country'!$E$24+
Y223*'Best Country'!$E$27
)/SUM('Best Country'!$E$5:$E$28), "")</f>
        <v>0.5784097736331788</v>
      </c>
      <c r="J223">
        <v>0.25627362999999997</v>
      </c>
      <c r="K223">
        <f t="shared" si="24"/>
        <v>0.96024224741065989</v>
      </c>
      <c r="L223">
        <v>0.77900000000000003</v>
      </c>
      <c r="M223">
        <f t="shared" si="25"/>
        <v>0.66952054794520555</v>
      </c>
      <c r="N223">
        <v>73.421999999999997</v>
      </c>
      <c r="O223">
        <f t="shared" si="26"/>
        <v>0.60683651261042104</v>
      </c>
      <c r="P223">
        <v>5278</v>
      </c>
      <c r="Q223">
        <f t="shared" si="27"/>
        <v>1.9011552879002028E-2</v>
      </c>
      <c r="R223">
        <v>18.2</v>
      </c>
      <c r="S223">
        <f t="shared" si="28"/>
        <v>0.91686746987951806</v>
      </c>
      <c r="T223">
        <v>53</v>
      </c>
      <c r="U223">
        <f t="shared" si="29"/>
        <v>0.50989345509893458</v>
      </c>
      <c r="V223">
        <v>55.8</v>
      </c>
      <c r="W223">
        <f t="shared" si="30"/>
        <v>0.65822784810126589</v>
      </c>
      <c r="X223">
        <v>4.68</v>
      </c>
      <c r="Y223">
        <f t="shared" si="31"/>
        <v>0.52040175768989327</v>
      </c>
    </row>
    <row r="224" spans="7:25" x14ac:dyDescent="0.3">
      <c r="G224" t="str">
        <v>Asia</v>
      </c>
      <c r="H224" t="str">
        <v>United Arab Emirates</v>
      </c>
      <c r="I224" s="3">
        <f>IFERROR((
K224*'Best Country'!$E$12+
M224*'Best Country'!$E$15+
O224*'Best Country'!$E$18+
Q224*'Best Country'!$E$9+
S224*'Best Country'!$E$6+
U224*'Best Country'!$E$21+
W224*'Best Country'!$E$24+
Y224*'Best Country'!$E$27
)/SUM('Best Country'!$E$5:$E$28), "")</f>
        <v>0.7283913494632992</v>
      </c>
      <c r="J224">
        <v>0.26399003999999998</v>
      </c>
      <c r="K224">
        <f t="shared" si="24"/>
        <v>0.94042955114610982</v>
      </c>
      <c r="L224">
        <v>0.94</v>
      </c>
      <c r="M224">
        <f t="shared" si="25"/>
        <v>0.9452054794520548</v>
      </c>
      <c r="N224">
        <v>82.909000000000006</v>
      </c>
      <c r="O224">
        <f t="shared" si="26"/>
        <v>0.91047881193189106</v>
      </c>
      <c r="P224">
        <v>48352</v>
      </c>
      <c r="Q224">
        <f t="shared" si="27"/>
        <v>0.18444662938609968</v>
      </c>
      <c r="R224">
        <v>48.7</v>
      </c>
      <c r="S224">
        <f t="shared" si="28"/>
        <v>0.54939759036144564</v>
      </c>
      <c r="T224">
        <v>85.2</v>
      </c>
      <c r="U224">
        <f t="shared" si="29"/>
        <v>1</v>
      </c>
      <c r="V224">
        <v>70.7</v>
      </c>
      <c r="W224">
        <f t="shared" si="30"/>
        <v>0.3438818565400843</v>
      </c>
      <c r="X224">
        <v>6.7590000000000003</v>
      </c>
      <c r="Y224">
        <f t="shared" si="31"/>
        <v>0.84667294413057137</v>
      </c>
    </row>
    <row r="225" spans="7:25" x14ac:dyDescent="0.3">
      <c r="G225" t="str">
        <v>Europe</v>
      </c>
      <c r="H225" t="str">
        <v>United Kingdom</v>
      </c>
      <c r="I225" s="3">
        <f>IFERROR((
K225*'Best Country'!$E$12+
M225*'Best Country'!$E$15+
O225*'Best Country'!$E$18+
Q225*'Best Country'!$E$9+
S225*'Best Country'!$E$6+
U225*'Best Country'!$E$21+
W225*'Best Country'!$E$24+
Y225*'Best Country'!$E$27
)/SUM('Best Country'!$E$5:$E$28), "")</f>
        <v>0.66141280133721825</v>
      </c>
      <c r="J225">
        <v>0.32414632999999998</v>
      </c>
      <c r="K225">
        <f t="shared" si="24"/>
        <v>0.7859719339157929</v>
      </c>
      <c r="L225">
        <v>0.94599999999999995</v>
      </c>
      <c r="M225">
        <f t="shared" si="25"/>
        <v>0.95547945205479445</v>
      </c>
      <c r="N225">
        <v>81.302000000000007</v>
      </c>
      <c r="O225">
        <f t="shared" si="26"/>
        <v>0.85904493662783266</v>
      </c>
      <c r="P225">
        <v>55199</v>
      </c>
      <c r="Q225">
        <f t="shared" si="27"/>
        <v>0.21074402384317581</v>
      </c>
      <c r="R225">
        <v>50.6</v>
      </c>
      <c r="S225">
        <f t="shared" si="28"/>
        <v>0.52650602409638558</v>
      </c>
      <c r="T225">
        <v>51.6</v>
      </c>
      <c r="U225">
        <f t="shared" si="29"/>
        <v>0.48858447488584472</v>
      </c>
      <c r="V225">
        <v>72.5</v>
      </c>
      <c r="W225">
        <f t="shared" si="30"/>
        <v>0.30590717299578063</v>
      </c>
      <c r="X225">
        <v>6.7279999999999998</v>
      </c>
      <c r="Y225">
        <f t="shared" si="31"/>
        <v>0.84180790960451979</v>
      </c>
    </row>
    <row r="226" spans="7:25" x14ac:dyDescent="0.3">
      <c r="G226" t="str">
        <v>North America</v>
      </c>
      <c r="H226" t="str">
        <v>United States</v>
      </c>
      <c r="I226" s="3">
        <f>IFERROR((
K226*'Best Country'!$E$12+
M226*'Best Country'!$E$15+
O226*'Best Country'!$E$18+
Q226*'Best Country'!$E$9+
S226*'Best Country'!$E$6+
U226*'Best Country'!$E$21+
W226*'Best Country'!$E$24+
Y226*'Best Country'!$E$27
)/SUM('Best Country'!$E$5:$E$28), "")</f>
        <v>0.64537428382652662</v>
      </c>
      <c r="J226">
        <v>0.41818877999999998</v>
      </c>
      <c r="K226">
        <f t="shared" si="24"/>
        <v>0.54450802805488951</v>
      </c>
      <c r="L226">
        <v>0.93799999999999994</v>
      </c>
      <c r="M226">
        <f t="shared" si="25"/>
        <v>0.94178082191780821</v>
      </c>
      <c r="N226">
        <v>79.304000000000002</v>
      </c>
      <c r="O226">
        <f t="shared" si="26"/>
        <v>0.79509665855844314</v>
      </c>
      <c r="P226">
        <v>87847</v>
      </c>
      <c r="Q226">
        <f t="shared" si="27"/>
        <v>0.33613577705401587</v>
      </c>
      <c r="R226">
        <v>54.6</v>
      </c>
      <c r="S226">
        <f t="shared" si="28"/>
        <v>0.47831325301204819</v>
      </c>
      <c r="T226">
        <v>50.8</v>
      </c>
      <c r="U226">
        <f t="shared" si="29"/>
        <v>0.47640791476407907</v>
      </c>
      <c r="V226">
        <v>67.5</v>
      </c>
      <c r="W226">
        <f t="shared" si="30"/>
        <v>0.41139240506329111</v>
      </c>
      <c r="X226">
        <v>6.7240000000000002</v>
      </c>
      <c r="Y226">
        <f t="shared" si="31"/>
        <v>0.84118016321406164</v>
      </c>
    </row>
    <row r="227" spans="7:25" x14ac:dyDescent="0.3">
      <c r="G227" t="str">
        <v>North America</v>
      </c>
      <c r="H227" t="str">
        <v>United States Virgin Islands</v>
      </c>
      <c r="I227" s="3" t="str">
        <f>IFERROR((
K227*'Best Country'!$E$12+
M227*'Best Country'!$E$15+
O227*'Best Country'!$E$18+
Q227*'Best Country'!$E$9+
S227*'Best Country'!$E$6+
U227*'Best Country'!$E$21+
W227*'Best Country'!$E$24+
Y227*'Best Country'!$E$27
)/SUM('Best Country'!$E$5:$E$28), "")</f>
        <v/>
      </c>
      <c r="J227" t="str">
        <v/>
      </c>
      <c r="K227" t="str">
        <f t="shared" si="24"/>
        <v/>
      </c>
      <c r="L227" t="str">
        <v/>
      </c>
      <c r="M227" t="str">
        <f t="shared" si="25"/>
        <v/>
      </c>
      <c r="N227" t="str">
        <v/>
      </c>
      <c r="O227" t="str">
        <f t="shared" si="26"/>
        <v/>
      </c>
      <c r="P227" t="str">
        <v/>
      </c>
      <c r="Q227" t="str">
        <f t="shared" si="27"/>
        <v/>
      </c>
      <c r="R227" t="str">
        <v/>
      </c>
      <c r="S227" t="str">
        <f t="shared" si="28"/>
        <v/>
      </c>
      <c r="T227" t="str">
        <v/>
      </c>
      <c r="U227" t="str">
        <f t="shared" si="29"/>
        <v/>
      </c>
      <c r="V227" t="str">
        <v/>
      </c>
      <c r="W227" t="str">
        <f t="shared" si="30"/>
        <v/>
      </c>
      <c r="X227" t="str">
        <v/>
      </c>
      <c r="Y227" t="str">
        <f t="shared" si="31"/>
        <v/>
      </c>
    </row>
    <row r="228" spans="7:25" x14ac:dyDescent="0.3">
      <c r="G228" t="str">
        <v>South America</v>
      </c>
      <c r="H228" t="str">
        <v>Uruguay</v>
      </c>
      <c r="I228" s="3">
        <f>IFERROR((
K228*'Best Country'!$E$12+
M228*'Best Country'!$E$15+
O228*'Best Country'!$E$18+
Q228*'Best Country'!$E$9+
S228*'Best Country'!$E$6+
U228*'Best Country'!$E$21+
W228*'Best Country'!$E$24+
Y228*'Best Country'!$E$27
)/SUM('Best Country'!$E$5:$E$28), "")</f>
        <v>0.60175777144871956</v>
      </c>
      <c r="J228">
        <v>0.40867536999999998</v>
      </c>
      <c r="K228">
        <f t="shared" si="24"/>
        <v>0.56893471128843109</v>
      </c>
      <c r="L228">
        <v>0.86199999999999999</v>
      </c>
      <c r="M228">
        <f t="shared" si="25"/>
        <v>0.81164383561643838</v>
      </c>
      <c r="N228">
        <v>78.138000000000005</v>
      </c>
      <c r="O228">
        <f t="shared" si="26"/>
        <v>0.75777749327870958</v>
      </c>
      <c r="P228">
        <v>23556</v>
      </c>
      <c r="Q228">
        <f t="shared" si="27"/>
        <v>8.9212191974436181E-2</v>
      </c>
      <c r="R228">
        <v>35.200000000000003</v>
      </c>
      <c r="S228">
        <f t="shared" si="28"/>
        <v>0.71204819277108433</v>
      </c>
      <c r="T228">
        <v>47.7</v>
      </c>
      <c r="U228">
        <f t="shared" si="29"/>
        <v>0.42922374429223747</v>
      </c>
      <c r="V228">
        <v>68.5</v>
      </c>
      <c r="W228">
        <f t="shared" si="30"/>
        <v>0.39029535864978904</v>
      </c>
      <c r="X228">
        <v>6.6609999999999996</v>
      </c>
      <c r="Y228">
        <f t="shared" si="31"/>
        <v>0.83129315756434397</v>
      </c>
    </row>
    <row r="229" spans="7:25" x14ac:dyDescent="0.3">
      <c r="G229" t="str">
        <v>Asia</v>
      </c>
      <c r="H229" t="str">
        <v>Uzbekistan</v>
      </c>
      <c r="I229" s="3" t="str">
        <f>IFERROR((
K229*'Best Country'!$E$12+
M229*'Best Country'!$E$15+
O229*'Best Country'!$E$18+
Q229*'Best Country'!$E$9+
S229*'Best Country'!$E$6+
U229*'Best Country'!$E$21+
W229*'Best Country'!$E$24+
Y229*'Best Country'!$E$27
)/SUM('Best Country'!$E$5:$E$28), "")</f>
        <v/>
      </c>
      <c r="J229">
        <v>0.34538773</v>
      </c>
      <c r="K229">
        <f t="shared" si="24"/>
        <v>0.73143239980163699</v>
      </c>
      <c r="L229">
        <v>0.74</v>
      </c>
      <c r="M229">
        <f t="shared" si="25"/>
        <v>0.60273972602739723</v>
      </c>
      <c r="N229">
        <v>72.388000000000005</v>
      </c>
      <c r="O229">
        <f t="shared" si="26"/>
        <v>0.573742158494431</v>
      </c>
      <c r="P229">
        <v>3575</v>
      </c>
      <c r="Q229">
        <f t="shared" si="27"/>
        <v>1.2470810545074663E-2</v>
      </c>
      <c r="R229">
        <v>19.399999999999999</v>
      </c>
      <c r="S229">
        <f t="shared" si="28"/>
        <v>0.90240963855421685</v>
      </c>
      <c r="T229" t="str">
        <v/>
      </c>
      <c r="U229" t="str">
        <f t="shared" si="29"/>
        <v/>
      </c>
      <c r="V229" t="str">
        <v/>
      </c>
      <c r="W229" t="str">
        <f t="shared" si="30"/>
        <v/>
      </c>
      <c r="X229">
        <v>6.1929999999999996</v>
      </c>
      <c r="Y229">
        <f t="shared" si="31"/>
        <v>0.75784682988072816</v>
      </c>
    </row>
    <row r="230" spans="7:25" x14ac:dyDescent="0.3">
      <c r="G230" t="str">
        <v>Oceania</v>
      </c>
      <c r="H230" t="str">
        <v>Vanuatu</v>
      </c>
      <c r="I230" s="3" t="str">
        <f>IFERROR((
K230*'Best Country'!$E$12+
M230*'Best Country'!$E$15+
O230*'Best Country'!$E$18+
Q230*'Best Country'!$E$9+
S230*'Best Country'!$E$6+
U230*'Best Country'!$E$21+
W230*'Best Country'!$E$24+
Y230*'Best Country'!$E$27
)/SUM('Best Country'!$E$5:$E$28), "")</f>
        <v/>
      </c>
      <c r="J230">
        <v>0.32317575999999998</v>
      </c>
      <c r="K230">
        <f t="shared" si="24"/>
        <v>0.78846397472408136</v>
      </c>
      <c r="L230">
        <v>0.621</v>
      </c>
      <c r="M230">
        <f t="shared" si="25"/>
        <v>0.39897260273972601</v>
      </c>
      <c r="N230">
        <v>71.477000000000004</v>
      </c>
      <c r="O230">
        <f t="shared" si="26"/>
        <v>0.54458456023556523</v>
      </c>
      <c r="P230">
        <v>3780</v>
      </c>
      <c r="Q230">
        <f t="shared" si="27"/>
        <v>1.325815768450808E-2</v>
      </c>
      <c r="R230" t="str">
        <v/>
      </c>
      <c r="S230" t="str">
        <f t="shared" si="28"/>
        <v/>
      </c>
      <c r="T230" t="str">
        <v/>
      </c>
      <c r="U230" t="str">
        <f t="shared" si="29"/>
        <v/>
      </c>
      <c r="V230" t="str">
        <v/>
      </c>
      <c r="W230" t="str">
        <f t="shared" si="30"/>
        <v/>
      </c>
      <c r="X230" t="str">
        <v/>
      </c>
      <c r="Y230" t="str">
        <f t="shared" si="31"/>
        <v/>
      </c>
    </row>
    <row r="231" spans="7:25" x14ac:dyDescent="0.3">
      <c r="G231" t="str">
        <v>Europe</v>
      </c>
      <c r="H231" t="str">
        <v>Vatican City</v>
      </c>
      <c r="I231" s="3" t="str">
        <f>IFERROR((
K231*'Best Country'!$E$12+
M231*'Best Country'!$E$15+
O231*'Best Country'!$E$18+
Q231*'Best Country'!$E$9+
S231*'Best Country'!$E$6+
U231*'Best Country'!$E$21+
W231*'Best Country'!$E$24+
Y231*'Best Country'!$E$27
)/SUM('Best Country'!$E$5:$E$28), "")</f>
        <v/>
      </c>
      <c r="J231" t="str">
        <v/>
      </c>
      <c r="K231" t="str">
        <f t="shared" si="24"/>
        <v/>
      </c>
      <c r="L231" t="str">
        <v/>
      </c>
      <c r="M231" t="str">
        <f t="shared" si="25"/>
        <v/>
      </c>
      <c r="N231" t="str">
        <v/>
      </c>
      <c r="O231" t="str">
        <f t="shared" si="26"/>
        <v/>
      </c>
      <c r="P231" t="str">
        <v/>
      </c>
      <c r="Q231" t="str">
        <f t="shared" si="27"/>
        <v/>
      </c>
      <c r="R231" t="str">
        <v/>
      </c>
      <c r="S231" t="str">
        <f t="shared" si="28"/>
        <v/>
      </c>
      <c r="T231" t="str">
        <v/>
      </c>
      <c r="U231" t="str">
        <f t="shared" si="29"/>
        <v/>
      </c>
      <c r="V231" t="str">
        <v/>
      </c>
      <c r="W231" t="str">
        <f t="shared" si="30"/>
        <v/>
      </c>
      <c r="X231" t="str">
        <v/>
      </c>
      <c r="Y231" t="str">
        <f t="shared" si="31"/>
        <v/>
      </c>
    </row>
    <row r="232" spans="7:25" x14ac:dyDescent="0.3">
      <c r="G232" t="str">
        <v>South America</v>
      </c>
      <c r="H232" t="str">
        <v>Venezuela</v>
      </c>
      <c r="I232" s="3" t="str">
        <f>IFERROR((
K232*'Best Country'!$E$12+
M232*'Best Country'!$E$15+
O232*'Best Country'!$E$18+
Q232*'Best Country'!$E$9+
S232*'Best Country'!$E$6+
U232*'Best Country'!$E$21+
W232*'Best Country'!$E$24+
Y232*'Best Country'!$E$27
)/SUM('Best Country'!$E$5:$E$28), "")</f>
        <v/>
      </c>
      <c r="J232" t="str">
        <v/>
      </c>
      <c r="K232" t="str">
        <f t="shared" si="24"/>
        <v/>
      </c>
      <c r="L232">
        <v>0.70899999999999996</v>
      </c>
      <c r="M232">
        <f t="shared" si="25"/>
        <v>0.54965753424657526</v>
      </c>
      <c r="N232">
        <v>72.513999999999996</v>
      </c>
      <c r="O232">
        <f t="shared" si="26"/>
        <v>0.57777493278709491</v>
      </c>
      <c r="P232">
        <v>3805</v>
      </c>
      <c r="Q232">
        <f t="shared" si="27"/>
        <v>1.3354175628341425E-2</v>
      </c>
      <c r="R232">
        <v>22.8</v>
      </c>
      <c r="S232">
        <f t="shared" si="28"/>
        <v>0.86144578313253017</v>
      </c>
      <c r="T232">
        <v>19.5</v>
      </c>
      <c r="U232">
        <f t="shared" si="29"/>
        <v>0</v>
      </c>
      <c r="V232">
        <v>39.6</v>
      </c>
      <c r="W232">
        <f t="shared" si="30"/>
        <v>1</v>
      </c>
      <c r="X232">
        <v>5.6829999999999998</v>
      </c>
      <c r="Y232">
        <f t="shared" si="31"/>
        <v>0.67780916509730071</v>
      </c>
    </row>
    <row r="233" spans="7:25" x14ac:dyDescent="0.3">
      <c r="G233" t="str">
        <v>Asia</v>
      </c>
      <c r="H233" t="str">
        <v>Vietnam</v>
      </c>
      <c r="I233" s="3">
        <f>IFERROR((
K233*'Best Country'!$E$12+
M233*'Best Country'!$E$15+
O233*'Best Country'!$E$18+
Q233*'Best Country'!$E$9+
S233*'Best Country'!$E$6+
U233*'Best Country'!$E$21+
W233*'Best Country'!$E$24+
Y233*'Best Country'!$E$27
)/SUM('Best Country'!$E$5:$E$28), "")</f>
        <v>0.60002126706766945</v>
      </c>
      <c r="J233">
        <v>0.36093006</v>
      </c>
      <c r="K233">
        <f t="shared" si="24"/>
        <v>0.69152582880121016</v>
      </c>
      <c r="L233">
        <v>0.76600000000000001</v>
      </c>
      <c r="M233">
        <f t="shared" si="25"/>
        <v>0.64726027397260277</v>
      </c>
      <c r="N233">
        <v>74.587999999999994</v>
      </c>
      <c r="O233">
        <f t="shared" si="26"/>
        <v>0.6441556778901546</v>
      </c>
      <c r="P233">
        <v>4832</v>
      </c>
      <c r="Q233">
        <f t="shared" si="27"/>
        <v>1.7298592761015179E-2</v>
      </c>
      <c r="R233">
        <v>18.8</v>
      </c>
      <c r="S233">
        <f t="shared" si="28"/>
        <v>0.90963855421686746</v>
      </c>
      <c r="T233">
        <v>59.6</v>
      </c>
      <c r="U233">
        <f t="shared" si="29"/>
        <v>0.61035007610350078</v>
      </c>
      <c r="V233">
        <v>61.9</v>
      </c>
      <c r="W233">
        <f t="shared" si="30"/>
        <v>0.52953586497890304</v>
      </c>
      <c r="X233">
        <v>6.3520000000000003</v>
      </c>
      <c r="Y233">
        <f t="shared" si="31"/>
        <v>0.78279974890144388</v>
      </c>
    </row>
    <row r="234" spans="7:25" x14ac:dyDescent="0.3">
      <c r="G234" t="str">
        <v>Oceania</v>
      </c>
      <c r="H234" t="str">
        <v>Wallis and Futuna</v>
      </c>
      <c r="I234" s="3" t="str">
        <f>IFERROR((
K234*'Best Country'!$E$12+
M234*'Best Country'!$E$15+
O234*'Best Country'!$E$18+
Q234*'Best Country'!$E$9+
S234*'Best Country'!$E$6+
U234*'Best Country'!$E$21+
W234*'Best Country'!$E$24+
Y234*'Best Country'!$E$27
)/SUM('Best Country'!$E$5:$E$28), "")</f>
        <v/>
      </c>
      <c r="J234" t="str">
        <v/>
      </c>
      <c r="K234" t="str">
        <f t="shared" si="24"/>
        <v/>
      </c>
      <c r="L234" t="str">
        <v/>
      </c>
      <c r="M234" t="str">
        <f t="shared" si="25"/>
        <v/>
      </c>
      <c r="N234" t="str">
        <v/>
      </c>
      <c r="O234" t="str">
        <f t="shared" si="26"/>
        <v/>
      </c>
      <c r="P234" t="str">
        <v/>
      </c>
      <c r="Q234" t="str">
        <f t="shared" si="27"/>
        <v/>
      </c>
      <c r="R234" t="str">
        <v/>
      </c>
      <c r="S234" t="str">
        <f t="shared" si="28"/>
        <v/>
      </c>
      <c r="T234" t="str">
        <v/>
      </c>
      <c r="U234" t="str">
        <f t="shared" si="29"/>
        <v/>
      </c>
      <c r="V234" t="str">
        <v/>
      </c>
      <c r="W234" t="str">
        <f t="shared" si="30"/>
        <v/>
      </c>
      <c r="X234" t="str">
        <v/>
      </c>
      <c r="Y234" t="str">
        <f t="shared" si="31"/>
        <v/>
      </c>
    </row>
    <row r="235" spans="7:25" x14ac:dyDescent="0.3">
      <c r="G235" t="str">
        <v>Africa</v>
      </c>
      <c r="H235" t="str">
        <v>Western Sahara</v>
      </c>
      <c r="I235" s="3" t="str">
        <f>IFERROR((
K235*'Best Country'!$E$12+
M235*'Best Country'!$E$15+
O235*'Best Country'!$E$18+
Q235*'Best Country'!$E$9+
S235*'Best Country'!$E$6+
U235*'Best Country'!$E$21+
W235*'Best Country'!$E$24+
Y235*'Best Country'!$E$27
)/SUM('Best Country'!$E$5:$E$28), "")</f>
        <v/>
      </c>
      <c r="J235" t="str">
        <v/>
      </c>
      <c r="K235" t="str">
        <f t="shared" si="24"/>
        <v/>
      </c>
      <c r="L235" t="str">
        <v/>
      </c>
      <c r="M235" t="str">
        <f t="shared" si="25"/>
        <v/>
      </c>
      <c r="N235" t="str">
        <v/>
      </c>
      <c r="O235" t="str">
        <f t="shared" si="26"/>
        <v/>
      </c>
      <c r="P235" t="str">
        <v/>
      </c>
      <c r="Q235" t="str">
        <f t="shared" si="27"/>
        <v/>
      </c>
      <c r="R235" t="str">
        <v/>
      </c>
      <c r="S235" t="str">
        <f t="shared" si="28"/>
        <v/>
      </c>
      <c r="T235" t="str">
        <v/>
      </c>
      <c r="U235" t="str">
        <f t="shared" si="29"/>
        <v/>
      </c>
      <c r="V235" t="str">
        <v/>
      </c>
      <c r="W235" t="str">
        <f t="shared" si="30"/>
        <v/>
      </c>
      <c r="X235" t="str">
        <v/>
      </c>
      <c r="Y235" t="str">
        <f t="shared" si="31"/>
        <v/>
      </c>
    </row>
    <row r="236" spans="7:25" x14ac:dyDescent="0.3">
      <c r="G236" t="str">
        <v>Asia</v>
      </c>
      <c r="H236" t="str">
        <v>Yemen</v>
      </c>
      <c r="I236" s="3" t="str">
        <f>IFERROR((
K236*'Best Country'!$E$12+
M236*'Best Country'!$E$15+
O236*'Best Country'!$E$18+
Q236*'Best Country'!$E$9+
S236*'Best Country'!$E$6+
U236*'Best Country'!$E$21+
W236*'Best Country'!$E$24+
Y236*'Best Country'!$E$27
)/SUM('Best Country'!$E$5:$E$28), "")</f>
        <v/>
      </c>
      <c r="J236">
        <v>0.36707094000000001</v>
      </c>
      <c r="K236">
        <f t="shared" si="24"/>
        <v>0.67575847192967919</v>
      </c>
      <c r="L236">
        <v>0.47</v>
      </c>
      <c r="M236">
        <f t="shared" si="25"/>
        <v>0.14041095890410954</v>
      </c>
      <c r="N236">
        <v>69.295000000000002</v>
      </c>
      <c r="O236">
        <f t="shared" si="26"/>
        <v>0.47474715145307894</v>
      </c>
      <c r="P236">
        <v>417</v>
      </c>
      <c r="Q236">
        <f t="shared" si="27"/>
        <v>3.4182388004670315E-4</v>
      </c>
      <c r="R236">
        <v>30.8</v>
      </c>
      <c r="S236">
        <f t="shared" si="28"/>
        <v>0.76506024096385539</v>
      </c>
      <c r="T236" t="str">
        <v/>
      </c>
      <c r="U236" t="str">
        <f t="shared" si="29"/>
        <v/>
      </c>
      <c r="V236" t="str">
        <v/>
      </c>
      <c r="W236" t="str">
        <f t="shared" si="30"/>
        <v/>
      </c>
      <c r="X236">
        <v>3.5609999999999999</v>
      </c>
      <c r="Y236">
        <f t="shared" si="31"/>
        <v>0.34478970495919647</v>
      </c>
    </row>
    <row r="237" spans="7:25" x14ac:dyDescent="0.3">
      <c r="G237" t="str">
        <v>Africa</v>
      </c>
      <c r="H237" t="str">
        <v>Zambia</v>
      </c>
      <c r="I237" s="3" t="str">
        <f>IFERROR((
K237*'Best Country'!$E$12+
M237*'Best Country'!$E$15+
O237*'Best Country'!$E$18+
Q237*'Best Country'!$E$9+
S237*'Best Country'!$E$6+
U237*'Best Country'!$E$21+
W237*'Best Country'!$E$24+
Y237*'Best Country'!$E$27
)/SUM('Best Country'!$E$5:$E$28), "")</f>
        <v/>
      </c>
      <c r="J237">
        <v>0.51484949999999996</v>
      </c>
      <c r="K237">
        <f t="shared" si="24"/>
        <v>0.29632143790834242</v>
      </c>
      <c r="L237">
        <v>0.59499999999999997</v>
      </c>
      <c r="M237">
        <f t="shared" si="25"/>
        <v>0.35445205479452052</v>
      </c>
      <c r="N237">
        <v>66.349000000000004</v>
      </c>
      <c r="O237">
        <f t="shared" si="26"/>
        <v>0.38045704775316863</v>
      </c>
      <c r="P237">
        <v>1319</v>
      </c>
      <c r="Q237">
        <f t="shared" si="27"/>
        <v>3.8061512935537393E-3</v>
      </c>
      <c r="R237">
        <v>23</v>
      </c>
      <c r="S237">
        <f t="shared" si="28"/>
        <v>0.85903614457831323</v>
      </c>
      <c r="T237" t="str">
        <v/>
      </c>
      <c r="U237" t="str">
        <f t="shared" si="29"/>
        <v/>
      </c>
      <c r="V237" t="str">
        <v/>
      </c>
      <c r="W237" t="str">
        <f t="shared" si="30"/>
        <v/>
      </c>
      <c r="X237">
        <v>3.9119999999999999</v>
      </c>
      <c r="Y237">
        <f t="shared" si="31"/>
        <v>0.39987445072190836</v>
      </c>
    </row>
    <row r="238" spans="7:25" x14ac:dyDescent="0.3">
      <c r="G238" t="str">
        <v>Africa</v>
      </c>
      <c r="H238" t="str">
        <v>Zimbabwe</v>
      </c>
      <c r="I238" s="3" t="str">
        <f>IFERROR((
K238*'Best Country'!$E$12+
M238*'Best Country'!$E$15+
O238*'Best Country'!$E$18+
Q238*'Best Country'!$E$9+
S238*'Best Country'!$E$6+
U238*'Best Country'!$E$21+
W238*'Best Country'!$E$24+
Y238*'Best Country'!$E$27
)/SUM('Best Country'!$E$5:$E$28), "")</f>
        <v/>
      </c>
      <c r="J238">
        <v>0.50256449999999997</v>
      </c>
      <c r="K238">
        <f t="shared" si="24"/>
        <v>0.32786447069301783</v>
      </c>
      <c r="L238">
        <v>0.59799999999999998</v>
      </c>
      <c r="M238">
        <f t="shared" si="25"/>
        <v>0.35958904109589035</v>
      </c>
      <c r="N238">
        <v>62.774999999999999</v>
      </c>
      <c r="O238">
        <f t="shared" si="26"/>
        <v>0.26606708488029684</v>
      </c>
      <c r="P238">
        <v>2252</v>
      </c>
      <c r="Q238">
        <f t="shared" si="27"/>
        <v>7.3895409574141219E-3</v>
      </c>
      <c r="R238">
        <v>23</v>
      </c>
      <c r="S238">
        <f t="shared" si="28"/>
        <v>0.85903614457831323</v>
      </c>
      <c r="T238" t="str">
        <v/>
      </c>
      <c r="U238" t="str">
        <f t="shared" si="29"/>
        <v/>
      </c>
      <c r="V238" t="str">
        <v/>
      </c>
      <c r="W238" t="str">
        <f t="shared" si="30"/>
        <v/>
      </c>
      <c r="X238">
        <v>3.3959999999999999</v>
      </c>
      <c r="Y238">
        <f t="shared" si="31"/>
        <v>0.31889516635279347</v>
      </c>
    </row>
  </sheetData>
  <mergeCells count="4">
    <mergeCell ref="A34:B34"/>
    <mergeCell ref="A18:B18"/>
    <mergeCell ref="D2:E2"/>
    <mergeCell ref="A33:B33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9210C-D53F-4BF5-8306-B90C3BE4CDEA}">
  <sheetPr>
    <tabColor theme="6" tint="0.79998168889431442"/>
  </sheetPr>
  <dimension ref="A1:A40"/>
  <sheetViews>
    <sheetView zoomScale="130" zoomScaleNormal="130" workbookViewId="0">
      <selection activeCell="J25" sqref="J25"/>
    </sheetView>
  </sheetViews>
  <sheetFormatPr baseColWidth="10" defaultRowHeight="14.4" x14ac:dyDescent="0.3"/>
  <cols>
    <col min="1" max="1" width="13.33203125" customWidth="1"/>
    <col min="2" max="3" width="10.6640625" customWidth="1"/>
    <col min="4" max="4" width="2.6640625" customWidth="1"/>
    <col min="5" max="5" width="13.33203125" customWidth="1"/>
    <col min="6" max="7" width="10.6640625" customWidth="1"/>
  </cols>
  <sheetData>
    <row r="1" ht="19.2" customHeight="1" x14ac:dyDescent="0.3"/>
    <row r="4" ht="19.2" customHeight="1" x14ac:dyDescent="0.3"/>
    <row r="7" ht="19.2" customHeight="1" x14ac:dyDescent="0.3"/>
    <row r="10" ht="19.2" customHeight="1" x14ac:dyDescent="0.3"/>
    <row r="13" ht="19.2" customHeight="1" x14ac:dyDescent="0.3"/>
    <row r="16" ht="19.2" customHeight="1" x14ac:dyDescent="0.3"/>
    <row r="19" ht="19.2" customHeight="1" x14ac:dyDescent="0.3"/>
    <row r="22" ht="19.2" customHeight="1" x14ac:dyDescent="0.3"/>
    <row r="25" ht="19.2" customHeight="1" x14ac:dyDescent="0.3"/>
    <row r="28" ht="19.2" customHeight="1" x14ac:dyDescent="0.3"/>
    <row r="31" ht="19.2" customHeight="1" x14ac:dyDescent="0.3"/>
    <row r="34" ht="19.2" customHeight="1" x14ac:dyDescent="0.3"/>
    <row r="37" ht="19.2" customHeight="1" x14ac:dyDescent="0.3"/>
    <row r="40" ht="19.2" customHeight="1" x14ac:dyDescent="0.3"/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0ADE2-1865-472E-ACED-D3A5C66C07AF}">
  <sheetPr>
    <tabColor theme="7" tint="0.79998168889431442"/>
  </sheetPr>
  <dimension ref="A1:S24"/>
  <sheetViews>
    <sheetView showGridLines="0" tabSelected="1" zoomScale="120" zoomScaleNormal="120" workbookViewId="0">
      <selection activeCell="A5" sqref="A5:C5"/>
    </sheetView>
  </sheetViews>
  <sheetFormatPr baseColWidth="10" defaultRowHeight="14.4" x14ac:dyDescent="0.3"/>
  <cols>
    <col min="1" max="2" width="11.109375" customWidth="1"/>
    <col min="3" max="3" width="11.5546875" style="7" customWidth="1"/>
    <col min="4" max="4" width="11.5546875" style="16"/>
    <col min="5" max="5" width="11.5546875" style="7"/>
    <col min="6" max="6" width="11.109375" style="7" customWidth="1"/>
    <col min="7" max="7" width="11.109375" customWidth="1"/>
    <col min="8" max="8" width="2.6640625" customWidth="1"/>
    <col min="9" max="9" width="20.44140625" bestFit="1" customWidth="1"/>
    <col min="10" max="10" width="5.44140625" style="27" customWidth="1"/>
    <col min="11" max="19" width="5.44140625" customWidth="1"/>
  </cols>
  <sheetData>
    <row r="1" spans="1:19" ht="26.4" thickBot="1" x14ac:dyDescent="0.55000000000000004">
      <c r="A1" s="34" t="s">
        <v>761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</row>
    <row r="3" spans="1:19" x14ac:dyDescent="0.3">
      <c r="A3" s="38" t="s">
        <v>763</v>
      </c>
      <c r="B3" s="38"/>
      <c r="C3" s="38"/>
      <c r="D3" s="38"/>
      <c r="E3" s="38"/>
      <c r="F3" s="38"/>
      <c r="G3" s="38"/>
      <c r="J3"/>
    </row>
    <row r="5" spans="1:19" x14ac:dyDescent="0.3">
      <c r="A5" s="42" t="s">
        <v>775</v>
      </c>
      <c r="B5" s="42"/>
      <c r="C5" s="42"/>
      <c r="D5" s="16" t="s">
        <v>764</v>
      </c>
      <c r="E5" s="42" t="s">
        <v>776</v>
      </c>
      <c r="F5" s="42"/>
      <c r="G5" s="42"/>
      <c r="J5"/>
    </row>
    <row r="6" spans="1:19" x14ac:dyDescent="0.3">
      <c r="C6" s="31"/>
      <c r="D6" s="30"/>
      <c r="E6" s="31"/>
      <c r="J6"/>
    </row>
    <row r="7" spans="1:19" ht="21" customHeight="1" x14ac:dyDescent="0.3">
      <c r="C7" s="29" t="str" cm="1">
        <f t="array" ref="C7:C14">'Correlations (help)'!J12:J19</f>
        <v>0,741</v>
      </c>
      <c r="D7" s="30" t="str" cm="1">
        <f t="array" ref="D7:D14">'Correlations (help)'!I3:I10</f>
        <v>μ</v>
      </c>
      <c r="E7" s="29" t="str" cm="1">
        <f t="array" ref="E7:E14">'Correlations (help)'!K12:K19</f>
        <v>0,366</v>
      </c>
      <c r="J7"/>
    </row>
    <row r="8" spans="1:19" ht="21" customHeight="1" x14ac:dyDescent="0.3">
      <c r="C8" s="29" t="str">
        <v>0,152</v>
      </c>
      <c r="D8" s="30" t="str">
        <v>σ</v>
      </c>
      <c r="E8" s="29" t="str">
        <v>0,076</v>
      </c>
      <c r="J8"/>
    </row>
    <row r="9" spans="1:19" ht="21" customHeight="1" x14ac:dyDescent="0.3">
      <c r="C9" s="29" t="str">
        <v>0,388</v>
      </c>
      <c r="D9" s="30" t="str">
        <v>Min</v>
      </c>
      <c r="E9" s="29" t="str">
        <v>0,241</v>
      </c>
      <c r="J9"/>
    </row>
    <row r="10" spans="1:19" ht="21" customHeight="1" x14ac:dyDescent="0.3">
      <c r="C10" s="29" t="str">
        <v>0,622</v>
      </c>
      <c r="D10" s="30" t="str">
        <v>Q₁</v>
      </c>
      <c r="E10" s="29" t="str">
        <v>0,315</v>
      </c>
      <c r="J10"/>
    </row>
    <row r="11" spans="1:19" ht="21" customHeight="1" x14ac:dyDescent="0.3">
      <c r="C11" s="29" t="str">
        <v>0,762</v>
      </c>
      <c r="D11" s="30" t="str">
        <v>Q₂</v>
      </c>
      <c r="E11" s="29" t="str">
        <v>0,353</v>
      </c>
      <c r="J11"/>
    </row>
    <row r="12" spans="1:19" ht="21" customHeight="1" x14ac:dyDescent="0.3">
      <c r="C12" s="29" t="str">
        <v>0,862</v>
      </c>
      <c r="D12" s="30" t="str">
        <v>Q₃</v>
      </c>
      <c r="E12" s="29" t="str">
        <v>0,407</v>
      </c>
      <c r="J12"/>
    </row>
    <row r="13" spans="1:19" ht="21" customHeight="1" x14ac:dyDescent="0.3">
      <c r="C13" s="29" t="str">
        <v>0,972</v>
      </c>
      <c r="D13" s="30" t="str">
        <v>Max</v>
      </c>
      <c r="E13" s="29" t="str">
        <v>0,630</v>
      </c>
      <c r="J13"/>
    </row>
    <row r="14" spans="1:19" ht="21" customHeight="1" x14ac:dyDescent="0.3">
      <c r="C14" s="32">
        <v>193</v>
      </c>
      <c r="D14" s="33" t="str">
        <v>Count*</v>
      </c>
      <c r="E14" s="32">
        <v>165</v>
      </c>
      <c r="J14"/>
    </row>
    <row r="15" spans="1:19" ht="14.4" customHeight="1" x14ac:dyDescent="0.3">
      <c r="C15" s="60" t="s">
        <v>785</v>
      </c>
      <c r="D15" s="60"/>
      <c r="E15" s="60"/>
      <c r="J15"/>
    </row>
    <row r="16" spans="1:19" ht="85.8" x14ac:dyDescent="0.3">
      <c r="I16" s="1" t="s">
        <v>779</v>
      </c>
      <c r="J16" s="26" t="str" cm="1">
        <f t="array" ref="J16:Q16">'Correlations (help)'!L1:S1</f>
        <v>Population</v>
      </c>
      <c r="K16" s="26" t="str">
        <v>GDP per capita [USD]</v>
      </c>
      <c r="L16" s="26" t="str">
        <v>GNI per capita [USD]</v>
      </c>
      <c r="M16" s="26" t="str">
        <v>Gini coefficient [0-1]</v>
      </c>
      <c r="N16" s="26" t="str">
        <v>HDI [0-1]</v>
      </c>
      <c r="O16" s="26" t="str">
        <v>Big Mac index [%]</v>
      </c>
      <c r="P16" s="26" t="str">
        <v>Life expectancy [years]</v>
      </c>
      <c r="Q16" s="26" t="str">
        <v>Mean years of schooling</v>
      </c>
      <c r="R16" s="23"/>
      <c r="S16" s="23"/>
    </row>
    <row r="17" spans="1:17" ht="14.4" customHeight="1" x14ac:dyDescent="0.3">
      <c r="I17" s="25" t="str" cm="1">
        <f t="array" ref="I17:I24">TRANSPOSE('Correlations (help)'!L1:S1)</f>
        <v>Population</v>
      </c>
      <c r="J17" s="24">
        <f>CORREL(_xlfn.ANCHORARRAY('Correlations (help)'!$L21),_xlfn.ANCHORARRAY('Correlations (help)'!L21))</f>
        <v>1.0000000000000002</v>
      </c>
      <c r="K17" s="24">
        <f>CORREL(_xlfn.ANCHORARRAY('Correlations (help)'!$L21),_xlfn.ANCHORARRAY('Correlations (help)'!M21))</f>
        <v>-6.6312452909883746E-2</v>
      </c>
      <c r="L17" s="24">
        <f>CORREL(_xlfn.ANCHORARRAY('Correlations (help)'!$L21),_xlfn.ANCHORARRAY('Correlations (help)'!N21))</f>
        <v>-4.8257679239444864E-2</v>
      </c>
      <c r="M17" s="24">
        <f>CORREL(_xlfn.ANCHORARRAY('Correlations (help)'!$L21),_xlfn.ANCHORARRAY('Correlations (help)'!O21))</f>
        <v>-6.9977766478387493E-2</v>
      </c>
      <c r="N17" s="24">
        <f>CORREL(_xlfn.ANCHORARRAY('Correlations (help)'!$L21),_xlfn.ANCHORARRAY('Correlations (help)'!P21))</f>
        <v>-1.5871515490550228E-2</v>
      </c>
      <c r="O17" s="24">
        <f>CORREL(_xlfn.ANCHORARRAY('Correlations (help)'!$L21),_xlfn.ANCHORARRAY('Correlations (help)'!Q21))</f>
        <v>-0.29896152501881723</v>
      </c>
      <c r="P17" s="24">
        <f>CORREL(_xlfn.ANCHORARRAY('Correlations (help)'!$L21),_xlfn.ANCHORARRAY('Correlations (help)'!R21))</f>
        <v>6.8896811237612095E-3</v>
      </c>
      <c r="Q17" s="24">
        <f>CORREL(_xlfn.ANCHORARRAY('Correlations (help)'!$L21),_xlfn.ANCHORARRAY('Correlations (help)'!S21))</f>
        <v>-7.1736220739752096E-2</v>
      </c>
    </row>
    <row r="18" spans="1:17" ht="15" customHeight="1" x14ac:dyDescent="0.3">
      <c r="A18" s="39" t="str" cm="1">
        <f t="array" ref="A18">"A pearson correlation coefficient of r = "&amp;'Correlations (help)'!B17&amp;" indicates a "&amp;_xlfn.IFS(
'Correlations (help)'!B17&lt;-0.6, "very strong negative",
AND('Correlations (help)'!B17&gt;=-0.6, 'Correlations (help)'!B17&lt;-0.2), "decent negative",
AND('Correlations (help)'!B17&gt;=-0.2, 'Correlations (help)'!B17&lt;0.2), "weak",
AND('Correlations (help)'!B17&gt;=0.2, 'Correlations (help)'!B17&lt;0.6), "decent positive",
'Correlations (help)'!B17&gt;=0.6, "very strong positive")&amp;" correlation."</f>
        <v>A pearson correlation coefficient of r = -0,32 indicates a decent negative correlation.</v>
      </c>
      <c r="B18" s="39"/>
      <c r="C18" s="39"/>
      <c r="D18" s="39"/>
      <c r="E18" s="39"/>
      <c r="F18" s="39"/>
      <c r="G18" s="39"/>
      <c r="I18" s="25" t="str">
        <v>GDP per capita [USD]</v>
      </c>
      <c r="J18" s="24"/>
      <c r="K18" s="24">
        <f>CORREL(_xlfn.ANCHORARRAY('Correlations (help)'!$M21),_xlfn.ANCHORARRAY('Correlations (help)'!M21))</f>
        <v>0.99999999999999989</v>
      </c>
      <c r="L18" s="24">
        <f>CORREL(_xlfn.ANCHORARRAY('Correlations (help)'!$M21),_xlfn.ANCHORARRAY('Correlations (help)'!N21))</f>
        <v>0.93756668797502118</v>
      </c>
      <c r="M18" s="24">
        <f>CORREL(_xlfn.ANCHORARRAY('Correlations (help)'!$M21),_xlfn.ANCHORARRAY('Correlations (help)'!O21))</f>
        <v>-0.29581012952714569</v>
      </c>
      <c r="N18" s="24">
        <f>CORREL(_xlfn.ANCHORARRAY('Correlations (help)'!$M21),_xlfn.ANCHORARRAY('Correlations (help)'!P21))</f>
        <v>0.67298261298262996</v>
      </c>
      <c r="O18" s="24">
        <f>CORREL(_xlfn.ANCHORARRAY('Correlations (help)'!$M21),_xlfn.ANCHORARRAY('Correlations (help)'!Q21))</f>
        <v>0.62773505033861698</v>
      </c>
      <c r="P18" s="24">
        <f>CORREL(_xlfn.ANCHORARRAY('Correlations (help)'!$M21),_xlfn.ANCHORARRAY('Correlations (help)'!R21))</f>
        <v>0.65246369166254747</v>
      </c>
      <c r="Q18" s="24">
        <f>CORREL(_xlfn.ANCHORARRAY('Correlations (help)'!$M21),_xlfn.ANCHORARRAY('Correlations (help)'!S21))</f>
        <v>0.57079603742617036</v>
      </c>
    </row>
    <row r="19" spans="1:17" x14ac:dyDescent="0.3">
      <c r="D19" s="28"/>
      <c r="I19" s="25" t="str">
        <v>GNI per capita [USD]</v>
      </c>
      <c r="J19" s="24"/>
      <c r="K19" s="24"/>
      <c r="L19" s="24">
        <f>CORREL(_xlfn.ANCHORARRAY('Correlations (help)'!$N21),_xlfn.ANCHORARRAY('Correlations (help)'!N21))</f>
        <v>1</v>
      </c>
      <c r="M19" s="24">
        <f>CORREL(_xlfn.ANCHORARRAY('Correlations (help)'!$N21),_xlfn.ANCHORARRAY('Correlations (help)'!O21))</f>
        <v>-0.34317915234179835</v>
      </c>
      <c r="N19" s="24">
        <f>CORREL(_xlfn.ANCHORARRAY('Correlations (help)'!$N21),_xlfn.ANCHORARRAY('Correlations (help)'!P21))</f>
        <v>0.78123871711745885</v>
      </c>
      <c r="O19" s="24">
        <f>CORREL(_xlfn.ANCHORARRAY('Correlations (help)'!$N21),_xlfn.ANCHORARRAY('Correlations (help)'!Q21))</f>
        <v>0.53061787327368692</v>
      </c>
      <c r="P19" s="24">
        <f>CORREL(_xlfn.ANCHORARRAY('Correlations (help)'!$N21),_xlfn.ANCHORARRAY('Correlations (help)'!R21))</f>
        <v>0.74263234493251362</v>
      </c>
      <c r="Q19" s="24">
        <f>CORREL(_xlfn.ANCHORARRAY('Correlations (help)'!$N21),_xlfn.ANCHORARRAY('Correlations (help)'!S21))</f>
        <v>0.64995262028714706</v>
      </c>
    </row>
    <row r="20" spans="1:17" ht="14.4" customHeight="1" x14ac:dyDescent="0.3">
      <c r="A20" s="55" t="str">
        <f>A5&amp;":"</f>
        <v>HDI [0-1]:</v>
      </c>
      <c r="B20" s="55"/>
      <c r="C20" s="56" t="str" cm="1">
        <f t="array" ref="C20">_xlfn.IFS(
A5="Population", "The total number of people living in a specific country.",
A5="GDP per capita [USD]", "The total economic output of a country divided by its population, reflecting average wealth.",
A5="GNI per capita [USD]", "The total income earned by a country's residents and businesses per person.",
A5="Gini coefficient [0-1]", "A statistical measure of income inequality (0 = equality, 1 = inequality).",
A5="HDI [0-1]", "A composite index of life expectancy, education, and per capita income.",
A5="Big Mac index [%]", "An informal measure of purchasing power parity based on the price of a Big Mac.",
A5="Life expectancy [years]", "The average number of years a newborn is expected to live.",
A5="Mean years of schooling", "The average number of years of education completed by adults aged 25+."
)</f>
        <v>A composite index of life expectancy, education, and per capita income.</v>
      </c>
      <c r="D20" s="56"/>
      <c r="E20" s="56"/>
      <c r="F20" s="56"/>
      <c r="G20" s="56"/>
      <c r="I20" s="25" t="str">
        <v>Gini coefficient [0-1]</v>
      </c>
      <c r="J20" s="24"/>
      <c r="K20" s="24"/>
      <c r="L20" s="24"/>
      <c r="M20" s="24">
        <f>CORREL(_xlfn.ANCHORARRAY('Correlations (help)'!$O21),_xlfn.ANCHORARRAY('Correlations (help)'!O21))</f>
        <v>0.99999999999999989</v>
      </c>
      <c r="N20" s="24">
        <f>CORREL(_xlfn.ANCHORARRAY('Correlations (help)'!$O21),_xlfn.ANCHORARRAY('Correlations (help)'!P21))</f>
        <v>-0.31609078498774817</v>
      </c>
      <c r="O20" s="24">
        <f>CORREL(_xlfn.ANCHORARRAY('Correlations (help)'!$O21),_xlfn.ANCHORARRAY('Correlations (help)'!Q21))</f>
        <v>-9.1734432322260959E-3</v>
      </c>
      <c r="P20" s="24">
        <f>CORREL(_xlfn.ANCHORARRAY('Correlations (help)'!$O21),_xlfn.ANCHORARRAY('Correlations (help)'!R21))</f>
        <v>-0.33948715978502508</v>
      </c>
      <c r="Q20" s="24">
        <f>CORREL(_xlfn.ANCHORARRAY('Correlations (help)'!$O21),_xlfn.ANCHORARRAY('Correlations (help)'!S21))</f>
        <v>-0.27143716893680131</v>
      </c>
    </row>
    <row r="21" spans="1:17" x14ac:dyDescent="0.3">
      <c r="A21" s="57"/>
      <c r="B21" s="58"/>
      <c r="C21" s="59"/>
      <c r="D21" s="59"/>
      <c r="E21" s="59"/>
      <c r="F21" s="59"/>
      <c r="G21" s="59"/>
      <c r="I21" s="25" t="str">
        <v>HDI [0-1]</v>
      </c>
      <c r="J21" s="24"/>
      <c r="K21" s="24"/>
      <c r="L21" s="24"/>
      <c r="M21" s="24"/>
      <c r="N21" s="24">
        <f>CORREL(_xlfn.ANCHORARRAY('Correlations (help)'!$P21),_xlfn.ANCHORARRAY('Correlations (help)'!P21))</f>
        <v>1.0000000000000002</v>
      </c>
      <c r="O21" s="24">
        <f>CORREL(_xlfn.ANCHORARRAY('Correlations (help)'!$P21),_xlfn.ANCHORARRAY('Correlations (help)'!Q21))</f>
        <v>0.56817684176520233</v>
      </c>
      <c r="P21" s="24">
        <f>CORREL(_xlfn.ANCHORARRAY('Correlations (help)'!$P21),_xlfn.ANCHORARRAY('Correlations (help)'!R21))</f>
        <v>0.90459058366247136</v>
      </c>
      <c r="Q21" s="24">
        <f>CORREL(_xlfn.ANCHORARRAY('Correlations (help)'!$P21),_xlfn.ANCHORARRAY('Correlations (help)'!S21))</f>
        <v>0.91140762549331944</v>
      </c>
    </row>
    <row r="22" spans="1:17" x14ac:dyDescent="0.3">
      <c r="I22" s="25" t="str">
        <v>Big Mac index [%]</v>
      </c>
      <c r="J22" s="24"/>
      <c r="K22" s="24"/>
      <c r="L22" s="24"/>
      <c r="M22" s="24"/>
      <c r="N22" s="24"/>
      <c r="O22" s="24">
        <f>CORREL(_xlfn.ANCHORARRAY('Correlations (help)'!$Q21),_xlfn.ANCHORARRAY('Correlations (help)'!Q21))</f>
        <v>1</v>
      </c>
      <c r="P22" s="24">
        <f>CORREL(_xlfn.ANCHORARRAY('Correlations (help)'!$Q21),_xlfn.ANCHORARRAY('Correlations (help)'!R21))</f>
        <v>0.54832495327333852</v>
      </c>
      <c r="Q22" s="24">
        <f>CORREL(_xlfn.ANCHORARRAY('Correlations (help)'!$Q21),_xlfn.ANCHORARRAY('Correlations (help)'!S21))</f>
        <v>0.43134304149728298</v>
      </c>
    </row>
    <row r="23" spans="1:17" ht="14.4" customHeight="1" x14ac:dyDescent="0.3">
      <c r="A23" s="55" t="str">
        <f>E5&amp;":"</f>
        <v>Gini coefficient [0-1]:</v>
      </c>
      <c r="B23" s="55"/>
      <c r="C23" s="56" t="str" cm="1">
        <f t="array" ref="C23">_xlfn.IFS(
E5="Population", "The total number of people living in a specific country.",
E5="GDP per capita [USD]", "The total economic output of a country divided by its population, reflecting average wealth.",
E5="GNI per capita [USD]", "The total income earned by a country's residents and businesses per person.",
E5="Gini coefficient [0-1]", "A statistical measure of income inequality (0 = equality, 1 = inequality).",
E5="HDI [0-1]", "A composite index of life expectancy, education, and per capita income.",
E5="Big Mac index [%]", "An informal measure of purchasing power parity based on the price of a Big Mac.",
E5="Life expectancy [years]", "The average number of years a newborn is expected to live.",
E5="Mean years of schooling", "The average number of years of education completed by adults aged 25+."
)</f>
        <v>A statistical measure of income inequality (0 = equality, 1 = inequality).</v>
      </c>
      <c r="D23" s="56"/>
      <c r="E23" s="56"/>
      <c r="F23" s="56"/>
      <c r="G23" s="56"/>
      <c r="I23" s="25" t="str">
        <v>Life expectancy [years]</v>
      </c>
      <c r="J23" s="24"/>
      <c r="K23" s="24"/>
      <c r="L23" s="24"/>
      <c r="M23" s="24"/>
      <c r="N23" s="24"/>
      <c r="O23" s="24"/>
      <c r="P23" s="24">
        <f>CORREL(_xlfn.ANCHORARRAY('Correlations (help)'!$R21),_xlfn.ANCHORARRAY('Correlations (help)'!R21))</f>
        <v>1</v>
      </c>
      <c r="Q23" s="24">
        <f>CORREL(_xlfn.ANCHORARRAY('Correlations (help)'!$R21),_xlfn.ANCHORARRAY('Correlations (help)'!S21))</f>
        <v>0.73986669724309462</v>
      </c>
    </row>
    <row r="24" spans="1:17" x14ac:dyDescent="0.3">
      <c r="A24" s="57"/>
      <c r="B24" s="58"/>
      <c r="C24" s="59"/>
      <c r="D24" s="59"/>
      <c r="E24" s="59"/>
      <c r="F24" s="59"/>
      <c r="G24" s="59"/>
      <c r="I24" s="25" t="str">
        <v>Mean years of schooling</v>
      </c>
      <c r="J24" s="24"/>
      <c r="K24" s="24"/>
      <c r="L24" s="24"/>
      <c r="M24" s="24"/>
      <c r="N24" s="24"/>
      <c r="O24" s="24"/>
      <c r="P24" s="24"/>
      <c r="Q24" s="24">
        <f>CORREL(_xlfn.ANCHORARRAY('Correlations (help)'!$S21),_xlfn.ANCHORARRAY('Correlations (help)'!S21))</f>
        <v>0.99999999999999978</v>
      </c>
    </row>
  </sheetData>
  <sheetProtection sheet="1" objects="1" scenarios="1" selectLockedCells="1"/>
  <mergeCells count="10">
    <mergeCell ref="C20:G21"/>
    <mergeCell ref="C23:G24"/>
    <mergeCell ref="A20:B20"/>
    <mergeCell ref="A23:B23"/>
    <mergeCell ref="A18:G18"/>
    <mergeCell ref="C15:E15"/>
    <mergeCell ref="A3:G3"/>
    <mergeCell ref="A5:C5"/>
    <mergeCell ref="E5:G5"/>
    <mergeCell ref="A1:Q1"/>
  </mergeCells>
  <conditionalFormatting sqref="J17:Q2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A266DE-601F-4054-BE2A-4833521FE805}">
          <x14:formula1>
            <xm:f>'Correlations (help)'!$L$1:$S$1</xm:f>
          </x14:formula1>
          <xm:sqref>A5:C5 E5:G5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43D2-7A53-4EB8-A6F9-F7AF78535349}">
  <sheetPr>
    <tabColor theme="7" tint="0.79998168889431442"/>
  </sheetPr>
  <dimension ref="A1:V254"/>
  <sheetViews>
    <sheetView showGridLines="0" workbookViewId="0">
      <selection activeCell="I11" sqref="I11"/>
    </sheetView>
  </sheetViews>
  <sheetFormatPr baseColWidth="10" defaultRowHeight="14.4" x14ac:dyDescent="0.3"/>
  <cols>
    <col min="4" max="4" width="2.6640625" customWidth="1"/>
    <col min="5" max="5" width="11.5546875" customWidth="1"/>
    <col min="6" max="6" width="2.6640625" customWidth="1"/>
    <col min="7" max="7" width="11.5546875" customWidth="1"/>
    <col min="8" max="8" width="2.6640625" customWidth="1"/>
    <col min="9" max="9" width="11.5546875" style="1"/>
    <col min="10" max="11" width="11.5546875" style="20"/>
    <col min="12" max="12" width="11" style="7" bestFit="1" customWidth="1"/>
    <col min="13" max="13" width="13.44140625" style="7" bestFit="1" customWidth="1"/>
    <col min="14" max="14" width="13" style="7" bestFit="1" customWidth="1"/>
    <col min="15" max="15" width="13.6640625" style="7" bestFit="1" customWidth="1"/>
    <col min="16" max="19" width="11.5546875" style="7"/>
  </cols>
  <sheetData>
    <row r="1" spans="1:19" s="18" customFormat="1" x14ac:dyDescent="0.3">
      <c r="A1" s="18" t="str">
        <f>"Correlation between "&amp;J1&amp;" &amp; "&amp;K1</f>
        <v>Correlation between HDI [0-1] &amp; Gini coefficient [0-1]</v>
      </c>
      <c r="I1" s="18" t="s">
        <v>767</v>
      </c>
      <c r="J1" s="19" t="str">
        <f>Correlations!A5</f>
        <v>HDI [0-1]</v>
      </c>
      <c r="K1" s="19" t="str">
        <f>Correlations!E5</f>
        <v>Gini coefficient [0-1]</v>
      </c>
      <c r="L1" s="18" t="s">
        <v>6</v>
      </c>
      <c r="M1" s="18" t="s">
        <v>771</v>
      </c>
      <c r="N1" s="18" t="s">
        <v>772</v>
      </c>
      <c r="O1" s="18" t="s">
        <v>776</v>
      </c>
      <c r="P1" s="18" t="s">
        <v>775</v>
      </c>
      <c r="Q1" s="18" t="s">
        <v>774</v>
      </c>
      <c r="R1" s="18" t="s">
        <v>773</v>
      </c>
      <c r="S1" s="18" t="s">
        <v>762</v>
      </c>
    </row>
    <row r="3" spans="1:19" ht="15" thickBot="1" x14ac:dyDescent="0.35">
      <c r="A3" s="51"/>
      <c r="B3" s="51"/>
      <c r="E3" s="51"/>
      <c r="F3" s="51"/>
      <c r="I3" s="15" t="s">
        <v>765</v>
      </c>
      <c r="J3" s="21" cm="1">
        <f t="array" ref="J3:J254">_xlfn.XLOOKUP(J1,L1:S1,L3:S254)</f>
        <v>0.74079792746114004</v>
      </c>
      <c r="K3" s="21" cm="1">
        <f t="array" ref="K3:K254">_xlfn.XLOOKUP(K1, L1:S1, L3:S254)</f>
        <v>0.36574687945454543</v>
      </c>
      <c r="L3" s="7">
        <f>AVERAGE(_xlfn.ANCHORARRAY(L21))</f>
        <v>38987245.535545021</v>
      </c>
      <c r="M3" s="7">
        <f t="shared" ref="M3:S3" si="0">AVERAGE(_xlfn.ANCHORARRAY(M21))</f>
        <v>21949.545023696683</v>
      </c>
      <c r="N3" s="7">
        <f t="shared" si="0"/>
        <v>24620.680478213475</v>
      </c>
      <c r="O3" s="7">
        <f t="shared" si="0"/>
        <v>0.36574687945454543</v>
      </c>
      <c r="P3" s="7">
        <f t="shared" si="0"/>
        <v>0.74079792746114004</v>
      </c>
      <c r="Q3" s="7">
        <f t="shared" si="0"/>
        <v>-22.299999999999997</v>
      </c>
      <c r="R3" s="7">
        <f t="shared" si="0"/>
        <v>73.111523316062218</v>
      </c>
      <c r="S3" s="7">
        <f t="shared" si="0"/>
        <v>9.1733461334559561</v>
      </c>
    </row>
    <row r="4" spans="1:19" ht="14.4" customHeight="1" x14ac:dyDescent="0.3">
      <c r="A4" s="50"/>
      <c r="B4" s="52" t="s">
        <v>780</v>
      </c>
      <c r="E4" s="50"/>
      <c r="F4" s="50"/>
      <c r="I4" s="15" t="s">
        <v>766</v>
      </c>
      <c r="J4" s="21">
        <v>0.15160775731807191</v>
      </c>
      <c r="K4" s="21">
        <v>7.5584201019919875E-2</v>
      </c>
      <c r="L4" s="7">
        <f>_xlfn.STDEV.S(_xlfn.ANCHORARRAY(L21))</f>
        <v>145810562.62034446</v>
      </c>
      <c r="M4" s="7">
        <f t="shared" ref="M4:S4" si="1">_xlfn.STDEV.S(_xlfn.ANCHORARRAY(M21))</f>
        <v>32790.148172331261</v>
      </c>
      <c r="N4" s="7">
        <f t="shared" si="1"/>
        <v>25961.982600577565</v>
      </c>
      <c r="O4" s="7">
        <f t="shared" si="1"/>
        <v>7.5584201019919875E-2</v>
      </c>
      <c r="P4" s="7">
        <f t="shared" si="1"/>
        <v>0.15160775731807191</v>
      </c>
      <c r="Q4" s="7">
        <f t="shared" si="1"/>
        <v>23.783269782950942</v>
      </c>
      <c r="R4" s="7">
        <f t="shared" si="1"/>
        <v>7.1661914041099219</v>
      </c>
      <c r="S4" s="7">
        <f t="shared" si="1"/>
        <v>3.1868345915644571</v>
      </c>
    </row>
    <row r="5" spans="1:19" ht="15" customHeight="1" x14ac:dyDescent="0.3">
      <c r="A5" s="50"/>
      <c r="B5" s="53">
        <f>ROUND(CORREL(INDEX(_xlfn.ANCHORARRAY(A21), 0, 2), INDEX(_xlfn.ANCHORARRAY(A21), 0, 3)), 4)</f>
        <v>-0.31609999999999999</v>
      </c>
      <c r="E5" s="50"/>
      <c r="F5" s="50"/>
      <c r="I5" s="1" t="s">
        <v>730</v>
      </c>
      <c r="J5" s="22">
        <v>0.38800000000000001</v>
      </c>
      <c r="K5" s="22">
        <v>0.24078926</v>
      </c>
      <c r="L5" s="7">
        <f>MIN(_xlfn.ANCHORARRAY(L21))</f>
        <v>4359</v>
      </c>
      <c r="M5" s="7">
        <f t="shared" ref="M5:S5" si="2">MIN(_xlfn.ANCHORARRAY(M21))</f>
        <v>328</v>
      </c>
      <c r="N5" s="7">
        <f t="shared" si="2"/>
        <v>688.34727710000004</v>
      </c>
      <c r="O5" s="7">
        <f t="shared" si="2"/>
        <v>0.24078926</v>
      </c>
      <c r="P5" s="7">
        <f t="shared" si="2"/>
        <v>0.38800000000000001</v>
      </c>
      <c r="Q5" s="7">
        <f t="shared" si="2"/>
        <v>-57.9</v>
      </c>
      <c r="R5" s="7">
        <f t="shared" si="2"/>
        <v>54.462000000000003</v>
      </c>
      <c r="S5" s="7">
        <f t="shared" si="2"/>
        <v>1.4122893409999999</v>
      </c>
    </row>
    <row r="6" spans="1:19" ht="15" thickBot="1" x14ac:dyDescent="0.35">
      <c r="B6" s="54"/>
      <c r="I6" s="1" t="s">
        <v>781</v>
      </c>
      <c r="J6" s="22">
        <v>0.622</v>
      </c>
      <c r="K6" s="22">
        <v>0.31534076</v>
      </c>
      <c r="L6" s="7">
        <f>_xlfn.QUARTILE.INC(_xlfn.ANCHORARRAY(L21), 1)</f>
        <v>1262225</v>
      </c>
      <c r="M6" s="7">
        <f t="shared" ref="M6:S6" si="3">_xlfn.QUARTILE.INC(_xlfn.ANCHORARRAY(M21), 1)</f>
        <v>2874</v>
      </c>
      <c r="N6" s="7">
        <f t="shared" si="3"/>
        <v>5746.5689689999999</v>
      </c>
      <c r="O6" s="7">
        <f t="shared" si="3"/>
        <v>0.31534076</v>
      </c>
      <c r="P6" s="7">
        <f t="shared" si="3"/>
        <v>0.622</v>
      </c>
      <c r="Q6" s="7">
        <f t="shared" si="3"/>
        <v>-37.9</v>
      </c>
      <c r="R6" s="7">
        <f t="shared" si="3"/>
        <v>67.385000000000005</v>
      </c>
      <c r="S6" s="7">
        <f t="shared" si="3"/>
        <v>6.7800462870000002</v>
      </c>
    </row>
    <row r="7" spans="1:19" x14ac:dyDescent="0.3">
      <c r="I7" s="1" t="s">
        <v>782</v>
      </c>
      <c r="J7" s="22">
        <v>0.76200000000000001</v>
      </c>
      <c r="K7" s="22">
        <v>0.35265439999999998</v>
      </c>
      <c r="L7" s="7">
        <f>_xlfn.QUARTILE.INC(_xlfn.ANCHORARRAY(L21), 2)</f>
        <v>7396080</v>
      </c>
      <c r="M7" s="7">
        <f t="shared" ref="M7:S7" si="4">_xlfn.QUARTILE.INC(_xlfn.ANCHORARRAY(M21), 2)</f>
        <v>8538</v>
      </c>
      <c r="N7" s="7">
        <f t="shared" si="4"/>
        <v>15866.54207</v>
      </c>
      <c r="O7" s="7">
        <f t="shared" si="4"/>
        <v>0.35265439999999998</v>
      </c>
      <c r="P7" s="7">
        <f t="shared" si="4"/>
        <v>0.76200000000000001</v>
      </c>
      <c r="Q7" s="7">
        <f t="shared" si="4"/>
        <v>-23.5</v>
      </c>
      <c r="R7" s="7">
        <f t="shared" si="4"/>
        <v>73.489999999999995</v>
      </c>
      <c r="S7" s="7">
        <f t="shared" si="4"/>
        <v>9.9330196379999993</v>
      </c>
    </row>
    <row r="8" spans="1:19" x14ac:dyDescent="0.3">
      <c r="I8" s="1" t="s">
        <v>783</v>
      </c>
      <c r="J8" s="22">
        <v>0.86199999999999999</v>
      </c>
      <c r="K8" s="22">
        <v>0.40668428000000001</v>
      </c>
      <c r="L8" s="7">
        <f>_xlfn.QUARTILE.INC(_xlfn.ANCHORARRAY(L21), 3)</f>
        <v>28217350</v>
      </c>
      <c r="M8" s="7">
        <f t="shared" ref="M8:S8" si="5">_xlfn.QUARTILE.INC(_xlfn.ANCHORARRAY(M21), 3)</f>
        <v>29514</v>
      </c>
      <c r="N8" s="7">
        <f t="shared" si="5"/>
        <v>36792.988740000001</v>
      </c>
      <c r="O8" s="7">
        <f t="shared" si="5"/>
        <v>0.40668428000000001</v>
      </c>
      <c r="P8" s="7">
        <f t="shared" si="5"/>
        <v>0.86199999999999999</v>
      </c>
      <c r="Q8" s="7">
        <f t="shared" si="5"/>
        <v>-10.600000000000001</v>
      </c>
      <c r="R8" s="7">
        <f t="shared" si="5"/>
        <v>78.340999999999994</v>
      </c>
      <c r="S8" s="7">
        <f t="shared" si="5"/>
        <v>11.64171812</v>
      </c>
    </row>
    <row r="9" spans="1:19" x14ac:dyDescent="0.3">
      <c r="I9" s="1" t="s">
        <v>731</v>
      </c>
      <c r="J9" s="22">
        <v>0.97199999999999998</v>
      </c>
      <c r="K9" s="22">
        <v>0.63025719999999996</v>
      </c>
      <c r="L9" s="7">
        <f>MAX(_xlfn.ANCHORARRAY(L21))</f>
        <v>1463870000</v>
      </c>
      <c r="M9" s="7">
        <f t="shared" ref="M9:S9" si="6">MAX(_xlfn.ANCHORARRAY(M21))</f>
        <v>260696</v>
      </c>
      <c r="N9" s="7">
        <f t="shared" si="6"/>
        <v>166811.6741</v>
      </c>
      <c r="O9" s="7">
        <f t="shared" si="6"/>
        <v>0.63025719999999996</v>
      </c>
      <c r="P9" s="7">
        <f t="shared" si="6"/>
        <v>0.97199999999999998</v>
      </c>
      <c r="Q9" s="7">
        <f t="shared" si="6"/>
        <v>49.6</v>
      </c>
      <c r="R9" s="7">
        <f t="shared" si="6"/>
        <v>85.706000000000003</v>
      </c>
      <c r="S9" s="7">
        <f t="shared" si="6"/>
        <v>14.296371629999999</v>
      </c>
    </row>
    <row r="10" spans="1:19" x14ac:dyDescent="0.3">
      <c r="I10" s="1" t="s">
        <v>784</v>
      </c>
      <c r="J10" s="22">
        <v>193</v>
      </c>
      <c r="K10" s="22">
        <v>165</v>
      </c>
      <c r="L10" s="7">
        <f>COUNT(_xlfn.ANCHORARRAY(L21))</f>
        <v>211</v>
      </c>
      <c r="M10" s="7">
        <f t="shared" ref="M10:S10" si="7">COUNT(_xlfn.ANCHORARRAY(M21))</f>
        <v>211</v>
      </c>
      <c r="N10" s="7">
        <f t="shared" si="7"/>
        <v>193</v>
      </c>
      <c r="O10" s="7">
        <f t="shared" si="7"/>
        <v>165</v>
      </c>
      <c r="P10" s="7">
        <f t="shared" si="7"/>
        <v>193</v>
      </c>
      <c r="Q10" s="7">
        <f t="shared" si="7"/>
        <v>52</v>
      </c>
      <c r="R10" s="7">
        <f t="shared" si="7"/>
        <v>193</v>
      </c>
      <c r="S10" s="7">
        <f t="shared" si="7"/>
        <v>193</v>
      </c>
    </row>
    <row r="11" spans="1:19" x14ac:dyDescent="0.3">
      <c r="J11" s="22">
        <v>0</v>
      </c>
      <c r="K11" s="22">
        <v>0</v>
      </c>
    </row>
    <row r="12" spans="1:19" x14ac:dyDescent="0.3">
      <c r="J12" s="22" t="str">
        <v>0,741</v>
      </c>
      <c r="K12" s="22" t="str">
        <v>0,366</v>
      </c>
      <c r="L12" s="7" t="str">
        <f>TEXT(L3, "#.##0,00.. ""M""")</f>
        <v>38,99 M</v>
      </c>
      <c r="M12" s="17" t="str">
        <f>TEXT(M3, """$""#.##0")</f>
        <v>$21.950</v>
      </c>
      <c r="N12" s="17" t="str">
        <f>TEXT(N3, """$""#.##0")</f>
        <v>$24.621</v>
      </c>
      <c r="O12" s="7" t="str">
        <f t="shared" ref="O12:P18" si="8">TEXT(O3, "0,000")</f>
        <v>0,366</v>
      </c>
      <c r="P12" s="7" t="str">
        <f t="shared" si="8"/>
        <v>0,741</v>
      </c>
      <c r="Q12" s="7" t="str">
        <f t="shared" ref="Q12:Q18" si="9">TEXT(Q3, "0,0")</f>
        <v>-22,3</v>
      </c>
      <c r="R12" s="7" t="str">
        <f t="shared" ref="R12:S18" si="10">TEXT(R3, "0,00")</f>
        <v>73,11</v>
      </c>
      <c r="S12" s="7" t="str">
        <f t="shared" si="10"/>
        <v>9,17</v>
      </c>
    </row>
    <row r="13" spans="1:19" x14ac:dyDescent="0.3">
      <c r="J13" s="22" t="str">
        <v>0,152</v>
      </c>
      <c r="K13" s="22" t="str">
        <v>0,076</v>
      </c>
      <c r="L13" s="7" t="str">
        <f>TEXT(L4, "#.##0,00.. ""M""")</f>
        <v>145,81 M</v>
      </c>
      <c r="M13" s="17" t="str">
        <f t="shared" ref="M13:N18" si="11">TEXT(M4, """$""#.##0")</f>
        <v>$32.790</v>
      </c>
      <c r="N13" s="17" t="str">
        <f t="shared" si="11"/>
        <v>$25.962</v>
      </c>
      <c r="O13" s="7" t="str">
        <f t="shared" si="8"/>
        <v>0,076</v>
      </c>
      <c r="P13" s="7" t="str">
        <f t="shared" si="8"/>
        <v>0,152</v>
      </c>
      <c r="Q13" s="7" t="str">
        <f t="shared" si="9"/>
        <v>23,8</v>
      </c>
      <c r="R13" s="7" t="str">
        <f t="shared" si="10"/>
        <v>7,17</v>
      </c>
      <c r="S13" s="7" t="str">
        <f t="shared" si="10"/>
        <v>3,19</v>
      </c>
    </row>
    <row r="14" spans="1:19" x14ac:dyDescent="0.3">
      <c r="J14" s="22" t="str">
        <v>0,388</v>
      </c>
      <c r="K14" s="22" t="str">
        <v>0,241</v>
      </c>
      <c r="L14" s="7">
        <f>L5</f>
        <v>4359</v>
      </c>
      <c r="M14" s="17" t="str">
        <f t="shared" si="11"/>
        <v>$328</v>
      </c>
      <c r="N14" s="17" t="str">
        <f t="shared" si="11"/>
        <v>$688</v>
      </c>
      <c r="O14" s="7" t="str">
        <f t="shared" si="8"/>
        <v>0,241</v>
      </c>
      <c r="P14" s="7" t="str">
        <f t="shared" si="8"/>
        <v>0,388</v>
      </c>
      <c r="Q14" s="7" t="str">
        <f t="shared" si="9"/>
        <v>-57,9</v>
      </c>
      <c r="R14" s="7" t="str">
        <f t="shared" si="10"/>
        <v>54,46</v>
      </c>
      <c r="S14" s="7" t="str">
        <f t="shared" si="10"/>
        <v>1,41</v>
      </c>
    </row>
    <row r="15" spans="1:19" x14ac:dyDescent="0.3">
      <c r="J15" s="22" t="str">
        <v>0,622</v>
      </c>
      <c r="K15" s="22" t="str">
        <v>0,315</v>
      </c>
      <c r="L15" s="7" t="str">
        <f>TEXT(L6, "#.##0,00.. ""M""")</f>
        <v>1,26 M</v>
      </c>
      <c r="M15" s="17" t="str">
        <f t="shared" si="11"/>
        <v>$2.874</v>
      </c>
      <c r="N15" s="17" t="str">
        <f t="shared" si="11"/>
        <v>$5.747</v>
      </c>
      <c r="O15" s="7" t="str">
        <f t="shared" si="8"/>
        <v>0,315</v>
      </c>
      <c r="P15" s="7" t="str">
        <f t="shared" si="8"/>
        <v>0,622</v>
      </c>
      <c r="Q15" s="7" t="str">
        <f t="shared" si="9"/>
        <v>-37,9</v>
      </c>
      <c r="R15" s="7" t="str">
        <f t="shared" si="10"/>
        <v>67,39</v>
      </c>
      <c r="S15" s="7" t="str">
        <f t="shared" si="10"/>
        <v>6,78</v>
      </c>
    </row>
    <row r="16" spans="1:19" x14ac:dyDescent="0.3">
      <c r="J16" s="22" t="str">
        <v>0,762</v>
      </c>
      <c r="K16" s="22" t="str">
        <v>0,353</v>
      </c>
      <c r="L16" s="7" t="str">
        <f>TEXT(L7, "#.##0,00.. ""M""")</f>
        <v>7,40 M</v>
      </c>
      <c r="M16" s="17" t="str">
        <f t="shared" si="11"/>
        <v>$8.538</v>
      </c>
      <c r="N16" s="17" t="str">
        <f t="shared" si="11"/>
        <v>$15.867</v>
      </c>
      <c r="O16" s="7" t="str">
        <f t="shared" si="8"/>
        <v>0,353</v>
      </c>
      <c r="P16" s="7" t="str">
        <f t="shared" si="8"/>
        <v>0,762</v>
      </c>
      <c r="Q16" s="7" t="str">
        <f t="shared" si="9"/>
        <v>-23,5</v>
      </c>
      <c r="R16" s="7" t="str">
        <f t="shared" si="10"/>
        <v>73,49</v>
      </c>
      <c r="S16" s="7" t="str">
        <f t="shared" si="10"/>
        <v>9,93</v>
      </c>
    </row>
    <row r="17" spans="1:22" x14ac:dyDescent="0.3">
      <c r="B17">
        <f>ROUND(CORREL(INDEX(_xlfn.ANCHORARRAY(A21), 0, 2), INDEX(_xlfn.ANCHORARRAY(A21), 0, 3)), 2)</f>
        <v>-0.32</v>
      </c>
      <c r="J17" s="22" t="str">
        <v>0,862</v>
      </c>
      <c r="K17" s="22" t="str">
        <v>0,407</v>
      </c>
      <c r="L17" s="7" t="str">
        <f>TEXT(L8, "#.##0,00.. ""M""")</f>
        <v>28,22 M</v>
      </c>
      <c r="M17" s="17" t="str">
        <f t="shared" si="11"/>
        <v>$29.514</v>
      </c>
      <c r="N17" s="17" t="str">
        <f t="shared" si="11"/>
        <v>$36.793</v>
      </c>
      <c r="O17" s="7" t="str">
        <f t="shared" si="8"/>
        <v>0,407</v>
      </c>
      <c r="P17" s="7" t="str">
        <f t="shared" si="8"/>
        <v>0,862</v>
      </c>
      <c r="Q17" s="7" t="str">
        <f t="shared" si="9"/>
        <v>-10,6</v>
      </c>
      <c r="R17" s="7" t="str">
        <f t="shared" si="10"/>
        <v>78,34</v>
      </c>
      <c r="S17" s="7" t="str">
        <f t="shared" si="10"/>
        <v>11,64</v>
      </c>
    </row>
    <row r="18" spans="1:22" x14ac:dyDescent="0.3">
      <c r="J18" s="22" t="str">
        <v>0,972</v>
      </c>
      <c r="K18" s="22" t="str">
        <v>0,630</v>
      </c>
      <c r="L18" s="7" t="str">
        <f>TEXT(L9, "#.##0,00.. ""M""")</f>
        <v>1.463,87 M</v>
      </c>
      <c r="M18" s="17" t="str">
        <f t="shared" si="11"/>
        <v>$260.696</v>
      </c>
      <c r="N18" s="17" t="str">
        <f t="shared" si="11"/>
        <v>$166.812</v>
      </c>
      <c r="O18" s="7" t="str">
        <f t="shared" si="8"/>
        <v>0,630</v>
      </c>
      <c r="P18" s="7" t="str">
        <f t="shared" si="8"/>
        <v>0,972</v>
      </c>
      <c r="Q18" s="7" t="str">
        <f t="shared" si="9"/>
        <v>49,6</v>
      </c>
      <c r="R18" s="7" t="str">
        <f t="shared" si="10"/>
        <v>85,71</v>
      </c>
      <c r="S18" s="7" t="str">
        <f t="shared" si="10"/>
        <v>14,30</v>
      </c>
    </row>
    <row r="19" spans="1:22" x14ac:dyDescent="0.3">
      <c r="A19" s="49" t="s">
        <v>768</v>
      </c>
      <c r="B19" s="49"/>
      <c r="C19" s="49"/>
      <c r="E19" s="6" t="s">
        <v>769</v>
      </c>
      <c r="G19" s="6" t="s">
        <v>770</v>
      </c>
      <c r="J19" s="22">
        <v>193</v>
      </c>
      <c r="K19" s="22">
        <v>165</v>
      </c>
      <c r="L19" s="7">
        <f t="shared" ref="L19:S19" si="12">L10</f>
        <v>211</v>
      </c>
      <c r="M19" s="7">
        <f t="shared" si="12"/>
        <v>211</v>
      </c>
      <c r="N19" s="7">
        <f t="shared" si="12"/>
        <v>193</v>
      </c>
      <c r="O19" s="7">
        <f t="shared" si="12"/>
        <v>165</v>
      </c>
      <c r="P19" s="7">
        <f t="shared" si="12"/>
        <v>193</v>
      </c>
      <c r="Q19" s="7">
        <f t="shared" si="12"/>
        <v>52</v>
      </c>
      <c r="R19" s="7">
        <f t="shared" si="12"/>
        <v>193</v>
      </c>
      <c r="S19" s="7">
        <f t="shared" si="12"/>
        <v>193</v>
      </c>
    </row>
    <row r="20" spans="1:22" x14ac:dyDescent="0.3">
      <c r="A20" t="s">
        <v>2</v>
      </c>
      <c r="B20" t="str">
        <f>J1</f>
        <v>HDI [0-1]</v>
      </c>
      <c r="C20" t="str">
        <f>K1</f>
        <v>Gini coefficient [0-1]</v>
      </c>
      <c r="E20" t="str">
        <f>J1</f>
        <v>HDI [0-1]</v>
      </c>
      <c r="G20" t="str">
        <f>K1</f>
        <v>Gini coefficient [0-1]</v>
      </c>
      <c r="J20" s="22">
        <v>0</v>
      </c>
      <c r="K20" s="22">
        <v>0</v>
      </c>
    </row>
    <row r="21" spans="1:22" x14ac:dyDescent="0.3">
      <c r="A21" t="str" cm="1">
        <f t="array" ref="A21:C184">_xlfn._xlws.FILTER(I21:K254, (J21:J254&lt;&gt;"")*(K21:K254&lt;&gt;""))</f>
        <v>Albania</v>
      </c>
      <c r="B21">
        <v>0.81</v>
      </c>
      <c r="C21">
        <v>0.29419630000000002</v>
      </c>
      <c r="E21" cm="1">
        <f t="array" ref="E21:E213">_xlfn._xlws.FILTER(J21:J254, J21:J254&lt;&gt;"")</f>
        <v>0.496</v>
      </c>
      <c r="G21" cm="1">
        <f t="array" ref="G21:G185">_xlfn._xlws.FILTER(K21:K254, K21:K254&lt;&gt;"")</f>
        <v>0.29419630000000002</v>
      </c>
      <c r="I21" s="1" t="str" cm="1">
        <f t="array" ref="I21:I254">main_table[Country]</f>
        <v>Afghanistan</v>
      </c>
      <c r="J21" s="22">
        <v>0.496</v>
      </c>
      <c r="K21" s="22" t="str">
        <v/>
      </c>
      <c r="L21" s="7" cm="1">
        <f t="array" ref="L21:L254">IF(main_table[Population]&lt;&gt;0, main_table[Population], "")</f>
        <v>43844100</v>
      </c>
      <c r="M21" s="7" cm="1">
        <f t="array" ref="M21:M254">IF(main_table[GDP per capita (USD)]&lt;&gt;0, main_table[GDP per capita (USD)], "")</f>
        <v>374</v>
      </c>
      <c r="N21" s="7" cm="1">
        <f t="array" ref="N21:N254">IF(main_table[GNI per capita (USD)]&lt;&gt;0, main_table[GNI per capita (USD)], "")</f>
        <v>1971.549458</v>
      </c>
      <c r="O21" s="7" t="str" cm="1">
        <f t="array" ref="O21:O254">IF(main_table[Gini-Coefficient (2021 prices; income or consumption consolid)]&lt;&gt;0, main_table[Gini-Coefficient (2021 prices; income or consumption consolid)], "")</f>
        <v/>
      </c>
      <c r="P21" s="7" cm="1">
        <f t="array" ref="P21:P254">IF(main_table[HDI (2023)]&lt;&gt;0, main_table[HDI (2023)], "")</f>
        <v>0.496</v>
      </c>
      <c r="Q21" s="7" t="str" cm="1">
        <f t="array" ref="Q21:Q254">IF(main_table[Big Mac Index (% under-/overvalued; raw index)]&lt;&gt;0, main_table[Big Mac Index (% under-/overvalued; raw index)], "")</f>
        <v/>
      </c>
      <c r="R21" s="7" cm="1">
        <f t="array" ref="R21:R254">IF(main_table[Years of life expectancy at birth (2023)]&lt;&gt;0, main_table[Years of life expectancy at birth (2023)], "")</f>
        <v>66.034999999999997</v>
      </c>
      <c r="S21" s="7" cm="1">
        <f t="array" ref="S21:S254">IF(main_table[Mean years of schooling (2023)]&lt;&gt;0, main_table[Mean years of schooling (2023)], "")</f>
        <v>2.514790058</v>
      </c>
    </row>
    <row r="22" spans="1:22" x14ac:dyDescent="0.3">
      <c r="A22" t="str">
        <v>Algeria</v>
      </c>
      <c r="B22">
        <v>0.76300000000000001</v>
      </c>
      <c r="C22">
        <v>0.27615731999999998</v>
      </c>
      <c r="E22">
        <v>0.81</v>
      </c>
      <c r="G22">
        <v>0.27615731999999998</v>
      </c>
      <c r="I22" s="1" t="str">
        <v>Albania</v>
      </c>
      <c r="J22" s="22">
        <v>0.81</v>
      </c>
      <c r="K22" s="22">
        <v>0.29419630000000002</v>
      </c>
      <c r="L22" s="7">
        <v>2771510</v>
      </c>
      <c r="M22" s="7">
        <v>10237</v>
      </c>
      <c r="N22" s="7">
        <v>17627.394039999999</v>
      </c>
      <c r="O22" s="7">
        <v>0.29419630000000002</v>
      </c>
      <c r="P22" s="7">
        <v>0.81</v>
      </c>
      <c r="Q22" s="7" t="str">
        <v/>
      </c>
      <c r="R22" s="7">
        <v>79.602000000000004</v>
      </c>
      <c r="S22" s="7">
        <v>10.17531099</v>
      </c>
    </row>
    <row r="23" spans="1:22" x14ac:dyDescent="0.3">
      <c r="A23" t="str">
        <v>Angola</v>
      </c>
      <c r="B23">
        <v>0.61599999999999999</v>
      </c>
      <c r="C23">
        <v>0.51264286000000003</v>
      </c>
      <c r="E23">
        <v>0.76300000000000001</v>
      </c>
      <c r="G23">
        <v>0.51264286000000003</v>
      </c>
      <c r="I23" s="1" t="str">
        <v>Algeria</v>
      </c>
      <c r="J23" s="22">
        <v>0.76300000000000001</v>
      </c>
      <c r="K23" s="22">
        <v>0.27615731999999998</v>
      </c>
      <c r="L23" s="7">
        <v>47435300</v>
      </c>
      <c r="M23" s="7">
        <v>5668</v>
      </c>
      <c r="N23" s="7">
        <v>15114.17175</v>
      </c>
      <c r="O23" s="7">
        <v>0.27615731999999998</v>
      </c>
      <c r="P23" s="7">
        <v>0.76300000000000001</v>
      </c>
      <c r="Q23" s="7" t="str">
        <v/>
      </c>
      <c r="R23" s="7">
        <v>76.260999999999996</v>
      </c>
      <c r="S23" s="7">
        <v>7.4163869870000001</v>
      </c>
    </row>
    <row r="24" spans="1:22" x14ac:dyDescent="0.3">
      <c r="A24" t="str">
        <v>Argentina</v>
      </c>
      <c r="B24">
        <v>0.86499999999999999</v>
      </c>
      <c r="C24">
        <v>0.42390974999999997</v>
      </c>
      <c r="E24">
        <v>0.91300000000000003</v>
      </c>
      <c r="G24">
        <v>0.42390974999999997</v>
      </c>
      <c r="I24" s="1" t="str">
        <v>American Samoa</v>
      </c>
      <c r="J24" s="22" t="str">
        <v/>
      </c>
      <c r="K24" s="22" t="str">
        <v/>
      </c>
      <c r="L24" s="7" t="str">
        <v/>
      </c>
      <c r="M24" s="7" t="str">
        <v/>
      </c>
      <c r="N24" s="7" t="str">
        <v/>
      </c>
      <c r="O24" s="7" t="str">
        <v/>
      </c>
      <c r="P24" s="7" t="str">
        <v/>
      </c>
      <c r="Q24" s="7" t="str">
        <v/>
      </c>
      <c r="R24" s="7" t="str">
        <v/>
      </c>
      <c r="S24" s="7" t="str">
        <v/>
      </c>
    </row>
    <row r="25" spans="1:22" x14ac:dyDescent="0.3">
      <c r="A25" t="str">
        <v>Armenia</v>
      </c>
      <c r="B25">
        <v>0.81100000000000005</v>
      </c>
      <c r="C25">
        <v>0.27154650000000002</v>
      </c>
      <c r="E25">
        <v>0.61599999999999999</v>
      </c>
      <c r="G25">
        <v>0.27154650000000002</v>
      </c>
      <c r="I25" s="1" t="str">
        <v>Andorra</v>
      </c>
      <c r="J25" s="22">
        <v>0.91300000000000003</v>
      </c>
      <c r="K25" s="22" t="str">
        <v/>
      </c>
      <c r="L25" s="7">
        <v>82904</v>
      </c>
      <c r="M25" s="7">
        <v>48671</v>
      </c>
      <c r="N25" s="7">
        <v>64631.0749</v>
      </c>
      <c r="O25" s="7" t="str">
        <v/>
      </c>
      <c r="P25" s="7">
        <v>0.91300000000000003</v>
      </c>
      <c r="Q25" s="7" t="str">
        <v/>
      </c>
      <c r="R25" s="7">
        <v>84.040999999999997</v>
      </c>
      <c r="S25" s="7">
        <v>11.60999966</v>
      </c>
    </row>
    <row r="26" spans="1:22" x14ac:dyDescent="0.3">
      <c r="A26" t="str">
        <v>Australia</v>
      </c>
      <c r="B26">
        <v>0.95799999999999996</v>
      </c>
      <c r="C26">
        <v>0.34332526000000002</v>
      </c>
      <c r="E26">
        <v>0.85099999999999998</v>
      </c>
      <c r="G26">
        <v>0.34332526000000002</v>
      </c>
      <c r="I26" s="1" t="str">
        <v>Angola</v>
      </c>
      <c r="J26" s="22">
        <v>0.61599999999999999</v>
      </c>
      <c r="K26" s="22">
        <v>0.51264286000000003</v>
      </c>
      <c r="L26" s="7">
        <v>39040000</v>
      </c>
      <c r="M26" s="7">
        <v>2903</v>
      </c>
      <c r="N26" s="7">
        <v>6631.2765440000003</v>
      </c>
      <c r="O26" s="7">
        <v>0.51264286000000003</v>
      </c>
      <c r="P26" s="7">
        <v>0.61599999999999999</v>
      </c>
      <c r="Q26" s="7" t="str">
        <v/>
      </c>
      <c r="R26" s="7">
        <v>64.617000000000004</v>
      </c>
      <c r="S26" s="7">
        <v>5.9561730089999996</v>
      </c>
    </row>
    <row r="27" spans="1:22" x14ac:dyDescent="0.3">
      <c r="A27" t="str">
        <v>Austria</v>
      </c>
      <c r="B27">
        <v>0.93</v>
      </c>
      <c r="C27">
        <v>0.30892930000000002</v>
      </c>
      <c r="E27">
        <v>0.86499999999999999</v>
      </c>
      <c r="G27">
        <v>0.30892930000000002</v>
      </c>
      <c r="I27" s="1" t="str">
        <v>Anguilla</v>
      </c>
      <c r="J27" s="22" t="str">
        <v/>
      </c>
      <c r="K27" s="22" t="str">
        <v/>
      </c>
      <c r="L27" s="7">
        <v>14728</v>
      </c>
      <c r="M27" s="7">
        <v>28228</v>
      </c>
      <c r="N27" s="7" t="str">
        <v/>
      </c>
      <c r="O27" s="7" t="str">
        <v/>
      </c>
      <c r="P27" s="7" t="str">
        <v/>
      </c>
      <c r="Q27" s="7" t="str">
        <v/>
      </c>
      <c r="R27" s="7" t="str">
        <v/>
      </c>
      <c r="S27" s="7" t="str">
        <v/>
      </c>
      <c r="U27" s="14"/>
      <c r="V27" s="14"/>
    </row>
    <row r="28" spans="1:22" x14ac:dyDescent="0.3">
      <c r="A28" t="str">
        <v>Bangladesh</v>
      </c>
      <c r="B28">
        <v>0.68500000000000005</v>
      </c>
      <c r="C28">
        <v>0.33373155999999998</v>
      </c>
      <c r="E28">
        <v>0.81100000000000005</v>
      </c>
      <c r="G28">
        <v>0.33373155999999998</v>
      </c>
      <c r="I28" s="1" t="str">
        <v>Antigua and Barbuda</v>
      </c>
      <c r="J28" s="22">
        <v>0.85099999999999998</v>
      </c>
      <c r="K28" s="22" t="str">
        <v/>
      </c>
      <c r="L28" s="7">
        <v>94209</v>
      </c>
      <c r="M28" s="7">
        <v>25189</v>
      </c>
      <c r="N28" s="7">
        <v>27386.517930000002</v>
      </c>
      <c r="O28" s="7" t="str">
        <v/>
      </c>
      <c r="P28" s="7">
        <v>0.85099999999999998</v>
      </c>
      <c r="Q28" s="7" t="str">
        <v/>
      </c>
      <c r="R28" s="7">
        <v>77.597999999999999</v>
      </c>
      <c r="S28" s="7">
        <v>11.647500040000001</v>
      </c>
    </row>
    <row r="29" spans="1:22" x14ac:dyDescent="0.3">
      <c r="A29" t="str">
        <v>Barbados</v>
      </c>
      <c r="B29">
        <v>0.81100000000000005</v>
      </c>
      <c r="C29">
        <v>0.34068036000000002</v>
      </c>
      <c r="E29">
        <v>0.95799999999999996</v>
      </c>
      <c r="G29">
        <v>0.34068036000000002</v>
      </c>
      <c r="I29" s="1" t="str">
        <v>Argentina</v>
      </c>
      <c r="J29" s="22">
        <v>0.86499999999999999</v>
      </c>
      <c r="K29" s="22">
        <v>0.42390974999999997</v>
      </c>
      <c r="L29" s="7">
        <v>45851400</v>
      </c>
      <c r="M29" s="7">
        <v>14908</v>
      </c>
      <c r="N29" s="7">
        <v>25876.053070000002</v>
      </c>
      <c r="O29" s="7">
        <v>0.42390974999999997</v>
      </c>
      <c r="P29" s="7">
        <v>0.86499999999999999</v>
      </c>
      <c r="Q29" s="7">
        <v>-14.6</v>
      </c>
      <c r="R29" s="7">
        <v>77.394999999999996</v>
      </c>
      <c r="S29" s="7">
        <v>11.18458184</v>
      </c>
    </row>
    <row r="30" spans="1:22" x14ac:dyDescent="0.3">
      <c r="A30" t="str">
        <v>Belarus</v>
      </c>
      <c r="B30">
        <v>0.82399999999999995</v>
      </c>
      <c r="C30">
        <v>0.24383356</v>
      </c>
      <c r="E30">
        <v>0.93</v>
      </c>
      <c r="G30">
        <v>0.24383356</v>
      </c>
      <c r="I30" s="1" t="str">
        <v>Armenia</v>
      </c>
      <c r="J30" s="22">
        <v>0.81100000000000005</v>
      </c>
      <c r="K30" s="22">
        <v>0.27154650000000002</v>
      </c>
      <c r="L30" s="7">
        <v>2952360</v>
      </c>
      <c r="M30" s="7">
        <v>8894</v>
      </c>
      <c r="N30" s="7">
        <v>20220.723190000001</v>
      </c>
      <c r="O30" s="7">
        <v>0.27154650000000002</v>
      </c>
      <c r="P30" s="7">
        <v>0.81100000000000005</v>
      </c>
      <c r="Q30" s="7" t="str">
        <v/>
      </c>
      <c r="R30" s="7">
        <v>75.683000000000007</v>
      </c>
      <c r="S30" s="7">
        <v>11.344978210000001</v>
      </c>
    </row>
    <row r="31" spans="1:22" x14ac:dyDescent="0.3">
      <c r="A31" t="str">
        <v>Belgium</v>
      </c>
      <c r="B31">
        <v>0.95099999999999996</v>
      </c>
      <c r="C31">
        <v>0.26375556</v>
      </c>
      <c r="E31">
        <v>0.78900000000000003</v>
      </c>
      <c r="G31">
        <v>0.26375556</v>
      </c>
      <c r="I31" s="1" t="str">
        <v>Aruba</v>
      </c>
      <c r="J31" s="22" t="str">
        <v/>
      </c>
      <c r="K31" s="22" t="str">
        <v/>
      </c>
      <c r="L31" s="7">
        <v>108147</v>
      </c>
      <c r="M31" s="7">
        <v>37911</v>
      </c>
      <c r="N31" s="7" t="str">
        <v/>
      </c>
      <c r="O31" s="7" t="str">
        <v/>
      </c>
      <c r="P31" s="7" t="str">
        <v/>
      </c>
      <c r="Q31" s="7" t="str">
        <v/>
      </c>
      <c r="R31" s="7" t="str">
        <v/>
      </c>
      <c r="S31" s="7" t="str">
        <v/>
      </c>
    </row>
    <row r="32" spans="1:22" x14ac:dyDescent="0.3">
      <c r="A32" t="str">
        <v>Belize</v>
      </c>
      <c r="B32">
        <v>0.72099999999999997</v>
      </c>
      <c r="C32">
        <v>0.39949583999999999</v>
      </c>
      <c r="E32">
        <v>0.82</v>
      </c>
      <c r="G32">
        <v>0.39949583999999999</v>
      </c>
      <c r="I32" s="1" t="str">
        <v>Australia</v>
      </c>
      <c r="J32" s="22">
        <v>0.95799999999999996</v>
      </c>
      <c r="K32" s="22">
        <v>0.34332526000000002</v>
      </c>
      <c r="L32" s="7">
        <v>26974000</v>
      </c>
      <c r="M32" s="7">
        <v>65681</v>
      </c>
      <c r="N32" s="7">
        <v>58276.876429999997</v>
      </c>
      <c r="O32" s="7">
        <v>0.34332526000000002</v>
      </c>
      <c r="P32" s="7">
        <v>0.95799999999999996</v>
      </c>
      <c r="Q32" s="7">
        <v>-13.2</v>
      </c>
      <c r="R32" s="7">
        <v>83.923000000000002</v>
      </c>
      <c r="S32" s="7">
        <v>12.869999890000001</v>
      </c>
    </row>
    <row r="33" spans="1:19" x14ac:dyDescent="0.3">
      <c r="A33" t="str">
        <v>Benin</v>
      </c>
      <c r="B33">
        <v>0.51500000000000001</v>
      </c>
      <c r="C33">
        <v>0.34395808</v>
      </c>
      <c r="E33">
        <v>0.89900000000000002</v>
      </c>
      <c r="G33">
        <v>0.34395808</v>
      </c>
      <c r="I33" s="1" t="str">
        <v>Austria</v>
      </c>
      <c r="J33" s="22">
        <v>0.93</v>
      </c>
      <c r="K33" s="22">
        <v>0.30892930000000002</v>
      </c>
      <c r="L33" s="7">
        <v>9113570</v>
      </c>
      <c r="M33" s="7">
        <v>58627</v>
      </c>
      <c r="N33" s="7">
        <v>63479.208429999999</v>
      </c>
      <c r="O33" s="7">
        <v>0.30892930000000002</v>
      </c>
      <c r="P33" s="7">
        <v>0.93</v>
      </c>
      <c r="Q33" s="7" t="str">
        <v/>
      </c>
      <c r="R33" s="7">
        <v>81.956000000000003</v>
      </c>
      <c r="S33" s="7">
        <v>12.36146506</v>
      </c>
    </row>
    <row r="34" spans="1:19" x14ac:dyDescent="0.3">
      <c r="A34" t="str">
        <v>Bhutan</v>
      </c>
      <c r="B34">
        <v>0.69799999999999995</v>
      </c>
      <c r="C34">
        <v>0.2845992</v>
      </c>
      <c r="E34">
        <v>0.68500000000000005</v>
      </c>
      <c r="G34">
        <v>0.2845992</v>
      </c>
      <c r="I34" s="1" t="str">
        <v>Azerbaijan</v>
      </c>
      <c r="J34" s="22">
        <v>0.78900000000000003</v>
      </c>
      <c r="K34" s="22" t="str">
        <v/>
      </c>
      <c r="L34" s="7">
        <v>10397700</v>
      </c>
      <c r="M34" s="7">
        <v>7585</v>
      </c>
      <c r="N34" s="7">
        <v>20667.957289999998</v>
      </c>
      <c r="O34" s="7" t="str">
        <v/>
      </c>
      <c r="P34" s="7">
        <v>0.78900000000000003</v>
      </c>
      <c r="Q34" s="7">
        <v>-36.799999999999997</v>
      </c>
      <c r="R34" s="7">
        <v>74.429000000000002</v>
      </c>
      <c r="S34" s="7">
        <v>11.06999969</v>
      </c>
    </row>
    <row r="35" spans="1:19" x14ac:dyDescent="0.3">
      <c r="A35" t="str">
        <v>Bolivia</v>
      </c>
      <c r="B35">
        <v>0.73299999999999998</v>
      </c>
      <c r="C35">
        <v>0.42050114</v>
      </c>
      <c r="E35">
        <v>0.81100000000000005</v>
      </c>
      <c r="G35">
        <v>0.42050114</v>
      </c>
      <c r="I35" s="1" t="str">
        <v>Bahamas</v>
      </c>
      <c r="J35" s="22">
        <v>0.82</v>
      </c>
      <c r="K35" s="22" t="str">
        <v/>
      </c>
      <c r="L35" s="7">
        <v>403033</v>
      </c>
      <c r="M35" s="7">
        <v>37659</v>
      </c>
      <c r="N35" s="7">
        <v>30974.68074</v>
      </c>
      <c r="O35" s="7" t="str">
        <v/>
      </c>
      <c r="P35" s="7">
        <v>0.82</v>
      </c>
      <c r="Q35" s="7" t="str">
        <v/>
      </c>
      <c r="R35" s="7">
        <v>74.552000000000007</v>
      </c>
      <c r="S35" s="7">
        <v>12.814419040000001</v>
      </c>
    </row>
    <row r="36" spans="1:19" x14ac:dyDescent="0.3">
      <c r="A36" t="str">
        <v>Bosnia and Herzegovina</v>
      </c>
      <c r="B36">
        <v>0.80400000000000005</v>
      </c>
      <c r="C36">
        <v>0.33030185000000001</v>
      </c>
      <c r="E36">
        <v>0.82399999999999995</v>
      </c>
      <c r="G36">
        <v>0.33030185000000001</v>
      </c>
      <c r="I36" s="1" t="str">
        <v>Bahrain</v>
      </c>
      <c r="J36" s="22">
        <v>0.89900000000000002</v>
      </c>
      <c r="K36" s="22" t="str">
        <v/>
      </c>
      <c r="L36" s="7">
        <v>1643330</v>
      </c>
      <c r="M36" s="7">
        <v>29105</v>
      </c>
      <c r="N36" s="7">
        <v>52818.795380000003</v>
      </c>
      <c r="O36" s="7" t="str">
        <v/>
      </c>
      <c r="P36" s="7">
        <v>0.89900000000000002</v>
      </c>
      <c r="Q36" s="7">
        <v>-20.6</v>
      </c>
      <c r="R36" s="7">
        <v>81.284000000000006</v>
      </c>
      <c r="S36" s="7">
        <v>11.130000109999999</v>
      </c>
    </row>
    <row r="37" spans="1:19" x14ac:dyDescent="0.3">
      <c r="A37" t="str">
        <v>Botswana</v>
      </c>
      <c r="B37">
        <v>0.73099999999999998</v>
      </c>
      <c r="C37">
        <v>0.54907360000000005</v>
      </c>
      <c r="E37">
        <v>0.95099999999999996</v>
      </c>
      <c r="G37">
        <v>0.54907360000000005</v>
      </c>
      <c r="I37" s="1" t="str">
        <v>Bangladesh</v>
      </c>
      <c r="J37" s="22">
        <v>0.68500000000000005</v>
      </c>
      <c r="K37" s="22">
        <v>0.33373155999999998</v>
      </c>
      <c r="L37" s="7">
        <v>175687000</v>
      </c>
      <c r="M37" s="7">
        <v>2659</v>
      </c>
      <c r="N37" s="7">
        <v>8497.6586389999993</v>
      </c>
      <c r="O37" s="7">
        <v>0.33373155999999998</v>
      </c>
      <c r="P37" s="7">
        <v>0.68500000000000005</v>
      </c>
      <c r="Q37" s="7" t="str">
        <v/>
      </c>
      <c r="R37" s="7">
        <v>74.671999999999997</v>
      </c>
      <c r="S37" s="7">
        <v>6.7899999619999996</v>
      </c>
    </row>
    <row r="38" spans="1:19" x14ac:dyDescent="0.3">
      <c r="A38" t="str">
        <v>Brazil</v>
      </c>
      <c r="B38">
        <v>0.78600000000000003</v>
      </c>
      <c r="C38">
        <v>0.51639440000000003</v>
      </c>
      <c r="E38">
        <v>0.72099999999999997</v>
      </c>
      <c r="G38">
        <v>0.51639440000000003</v>
      </c>
      <c r="I38" s="1" t="str">
        <v>Barbados</v>
      </c>
      <c r="J38" s="22">
        <v>0.81100000000000005</v>
      </c>
      <c r="K38" s="22">
        <v>0.34068036000000002</v>
      </c>
      <c r="L38" s="7">
        <v>282623</v>
      </c>
      <c r="M38" s="7">
        <v>26721</v>
      </c>
      <c r="N38" s="7">
        <v>17327.520469999999</v>
      </c>
      <c r="O38" s="7">
        <v>0.34068036000000002</v>
      </c>
      <c r="P38" s="7">
        <v>0.81100000000000005</v>
      </c>
      <c r="Q38" s="7" t="str">
        <v/>
      </c>
      <c r="R38" s="7">
        <v>76.177999999999997</v>
      </c>
      <c r="S38" s="7">
        <v>9.9283568899999999</v>
      </c>
    </row>
    <row r="39" spans="1:19" x14ac:dyDescent="0.3">
      <c r="A39" t="str">
        <v>Bulgaria</v>
      </c>
      <c r="B39">
        <v>0.84499999999999997</v>
      </c>
      <c r="C39">
        <v>0.38201501999999998</v>
      </c>
      <c r="E39">
        <v>0.51500000000000001</v>
      </c>
      <c r="G39">
        <v>0.38201501999999998</v>
      </c>
      <c r="I39" s="1" t="str">
        <v>Belarus</v>
      </c>
      <c r="J39" s="22">
        <v>0.82399999999999995</v>
      </c>
      <c r="K39" s="22">
        <v>0.24383356</v>
      </c>
      <c r="L39" s="7">
        <v>8997600</v>
      </c>
      <c r="M39" s="7">
        <v>7953</v>
      </c>
      <c r="N39" s="7">
        <v>26724.870999999999</v>
      </c>
      <c r="O39" s="7">
        <v>0.24383356</v>
      </c>
      <c r="P39" s="7">
        <v>0.82399999999999995</v>
      </c>
      <c r="Q39" s="7" t="str">
        <v/>
      </c>
      <c r="R39" s="7">
        <v>74.433999999999997</v>
      </c>
      <c r="S39" s="7">
        <v>12.335372980000001</v>
      </c>
    </row>
    <row r="40" spans="1:19" x14ac:dyDescent="0.3">
      <c r="A40" t="str">
        <v>Burkina Faso</v>
      </c>
      <c r="B40">
        <v>0.45900000000000002</v>
      </c>
      <c r="C40">
        <v>0.37391287000000001</v>
      </c>
      <c r="E40">
        <v>0.69799999999999995</v>
      </c>
      <c r="G40">
        <v>0.37391287000000001</v>
      </c>
      <c r="I40" s="1" t="str">
        <v>Belgium</v>
      </c>
      <c r="J40" s="22">
        <v>0.95099999999999996</v>
      </c>
      <c r="K40" s="22">
        <v>0.26375556</v>
      </c>
      <c r="L40" s="7">
        <v>11758600</v>
      </c>
      <c r="M40" s="7">
        <v>58244</v>
      </c>
      <c r="N40" s="7">
        <v>63582.475350000001</v>
      </c>
      <c r="O40" s="7">
        <v>0.26375556</v>
      </c>
      <c r="P40" s="7">
        <v>0.95099999999999996</v>
      </c>
      <c r="Q40" s="7" t="str">
        <v/>
      </c>
      <c r="R40" s="7">
        <v>82.114999999999995</v>
      </c>
      <c r="S40" s="7">
        <v>12.68965045</v>
      </c>
    </row>
    <row r="41" spans="1:19" x14ac:dyDescent="0.3">
      <c r="A41" t="str">
        <v>Burundi</v>
      </c>
      <c r="B41">
        <v>0.439</v>
      </c>
      <c r="C41">
        <v>0.37456086</v>
      </c>
      <c r="E41">
        <v>0.73299999999999998</v>
      </c>
      <c r="G41">
        <v>0.37456086</v>
      </c>
      <c r="I41" s="1" t="str">
        <v>Belize</v>
      </c>
      <c r="J41" s="22">
        <v>0.72099999999999997</v>
      </c>
      <c r="K41" s="22">
        <v>0.39949583999999999</v>
      </c>
      <c r="L41" s="7">
        <v>422924</v>
      </c>
      <c r="M41" s="7">
        <v>8538</v>
      </c>
      <c r="N41" s="7">
        <v>12343.07814</v>
      </c>
      <c r="O41" s="7">
        <v>0.39949583999999999</v>
      </c>
      <c r="P41" s="7">
        <v>0.72099999999999997</v>
      </c>
      <c r="Q41" s="7" t="str">
        <v/>
      </c>
      <c r="R41" s="7">
        <v>73.566000000000003</v>
      </c>
      <c r="S41" s="7">
        <v>8.7622900010000002</v>
      </c>
    </row>
    <row r="42" spans="1:19" x14ac:dyDescent="0.3">
      <c r="A42" t="str">
        <v>Cameroon</v>
      </c>
      <c r="B42">
        <v>0.58799999999999997</v>
      </c>
      <c r="C42">
        <v>0.42176074000000002</v>
      </c>
      <c r="E42">
        <v>0.80400000000000005</v>
      </c>
      <c r="G42">
        <v>0.42176074000000002</v>
      </c>
      <c r="I42" s="1" t="str">
        <v>Benin</v>
      </c>
      <c r="J42" s="22">
        <v>0.51500000000000001</v>
      </c>
      <c r="K42" s="22">
        <v>0.34395808</v>
      </c>
      <c r="L42" s="7">
        <v>14814500</v>
      </c>
      <c r="M42" s="7">
        <v>1501</v>
      </c>
      <c r="N42" s="7">
        <v>3805.5275160000001</v>
      </c>
      <c r="O42" s="7">
        <v>0.34395808</v>
      </c>
      <c r="P42" s="7">
        <v>0.51500000000000001</v>
      </c>
      <c r="Q42" s="7" t="str">
        <v/>
      </c>
      <c r="R42" s="7">
        <v>60.774000000000001</v>
      </c>
      <c r="S42" s="7">
        <v>3.194200039</v>
      </c>
    </row>
    <row r="43" spans="1:19" x14ac:dyDescent="0.3">
      <c r="A43" t="str">
        <v>Canada</v>
      </c>
      <c r="B43">
        <v>0.93899999999999995</v>
      </c>
      <c r="C43">
        <v>0.29851684000000001</v>
      </c>
      <c r="E43">
        <v>0.73099999999999998</v>
      </c>
      <c r="G43">
        <v>0.29851684000000001</v>
      </c>
      <c r="I43" s="1" t="str">
        <v>Bermuda</v>
      </c>
      <c r="J43" s="22" t="str">
        <v/>
      </c>
      <c r="K43" s="22" t="str">
        <v/>
      </c>
      <c r="L43" s="7">
        <v>64555</v>
      </c>
      <c r="M43" s="7">
        <v>126120</v>
      </c>
      <c r="N43" s="7" t="str">
        <v/>
      </c>
      <c r="O43" s="7" t="str">
        <v/>
      </c>
      <c r="P43" s="7" t="str">
        <v/>
      </c>
      <c r="Q43" s="7" t="str">
        <v/>
      </c>
      <c r="R43" s="7" t="str">
        <v/>
      </c>
      <c r="S43" s="7" t="str">
        <v/>
      </c>
    </row>
    <row r="44" spans="1:19" x14ac:dyDescent="0.3">
      <c r="A44" t="str">
        <v>Cape Verde</v>
      </c>
      <c r="B44">
        <v>0.66800000000000004</v>
      </c>
      <c r="C44">
        <v>0.42381087000000001</v>
      </c>
      <c r="E44">
        <v>0.78600000000000003</v>
      </c>
      <c r="G44">
        <v>0.42381087000000001</v>
      </c>
      <c r="I44" s="1" t="str">
        <v>Bhutan</v>
      </c>
      <c r="J44" s="22">
        <v>0.69799999999999995</v>
      </c>
      <c r="K44" s="22">
        <v>0.2845992</v>
      </c>
      <c r="L44" s="7">
        <v>796682</v>
      </c>
      <c r="M44" s="7">
        <v>4295</v>
      </c>
      <c r="N44" s="7">
        <v>13842.803529999999</v>
      </c>
      <c r="O44" s="7">
        <v>0.2845992</v>
      </c>
      <c r="P44" s="7">
        <v>0.69799999999999995</v>
      </c>
      <c r="Q44" s="7" t="str">
        <v/>
      </c>
      <c r="R44" s="7">
        <v>72.974999999999994</v>
      </c>
      <c r="S44" s="7">
        <v>5.8357946619999996</v>
      </c>
    </row>
    <row r="45" spans="1:19" x14ac:dyDescent="0.3">
      <c r="A45" t="str">
        <v>Central African Republic</v>
      </c>
      <c r="B45">
        <v>0.41399999999999998</v>
      </c>
      <c r="C45">
        <v>0.43034457999999998</v>
      </c>
      <c r="E45">
        <v>0.83699999999999997</v>
      </c>
      <c r="G45">
        <v>0.43034457999999998</v>
      </c>
      <c r="I45" s="1" t="str">
        <v>Bolivia</v>
      </c>
      <c r="J45" s="22">
        <v>0.73299999999999998</v>
      </c>
      <c r="K45" s="22">
        <v>0.42050114</v>
      </c>
      <c r="L45" s="7">
        <v>12581800</v>
      </c>
      <c r="M45" s="7">
        <v>4478</v>
      </c>
      <c r="N45" s="7">
        <v>9445.2448679999998</v>
      </c>
      <c r="O45" s="7">
        <v>0.42050114</v>
      </c>
      <c r="P45" s="7">
        <v>0.73299999999999998</v>
      </c>
      <c r="Q45" s="7" t="str">
        <v/>
      </c>
      <c r="R45" s="7">
        <v>68.581000000000003</v>
      </c>
      <c r="S45" s="7">
        <v>10.021223190000001</v>
      </c>
    </row>
    <row r="46" spans="1:19" x14ac:dyDescent="0.3">
      <c r="A46" t="str">
        <v>Chad</v>
      </c>
      <c r="B46">
        <v>0.41599999999999998</v>
      </c>
      <c r="C46">
        <v>0.37357685000000002</v>
      </c>
      <c r="E46">
        <v>0.84499999999999997</v>
      </c>
      <c r="G46">
        <v>0.37357685000000002</v>
      </c>
      <c r="I46" s="1" t="str">
        <v>Bosnia and Herzegovina</v>
      </c>
      <c r="J46" s="22">
        <v>0.80400000000000005</v>
      </c>
      <c r="K46" s="22">
        <v>0.33030185000000001</v>
      </c>
      <c r="L46" s="7">
        <v>3140100</v>
      </c>
      <c r="M46" s="7">
        <v>9174</v>
      </c>
      <c r="N46" s="7">
        <v>19827.48588</v>
      </c>
      <c r="O46" s="7">
        <v>0.33030185000000001</v>
      </c>
      <c r="P46" s="7">
        <v>0.80400000000000005</v>
      </c>
      <c r="Q46" s="7" t="str">
        <v/>
      </c>
      <c r="R46" s="7">
        <v>77.849999999999994</v>
      </c>
      <c r="S46" s="7">
        <v>10.97000027</v>
      </c>
    </row>
    <row r="47" spans="1:19" x14ac:dyDescent="0.3">
      <c r="A47" t="str">
        <v>Chile</v>
      </c>
      <c r="B47">
        <v>0.878</v>
      </c>
      <c r="C47">
        <v>0.43042782000000002</v>
      </c>
      <c r="E47">
        <v>0.45900000000000002</v>
      </c>
      <c r="G47">
        <v>0.43042782000000002</v>
      </c>
      <c r="I47" s="1" t="str">
        <v>Botswana</v>
      </c>
      <c r="J47" s="22">
        <v>0.73099999999999998</v>
      </c>
      <c r="K47" s="22">
        <v>0.54907360000000005</v>
      </c>
      <c r="L47" s="7">
        <v>2562120</v>
      </c>
      <c r="M47" s="7">
        <v>7572</v>
      </c>
      <c r="N47" s="7">
        <v>16983.77103</v>
      </c>
      <c r="O47" s="7">
        <v>0.54907360000000005</v>
      </c>
      <c r="P47" s="7">
        <v>0.73099999999999998</v>
      </c>
      <c r="Q47" s="7" t="str">
        <v/>
      </c>
      <c r="R47" s="7">
        <v>69.162999999999997</v>
      </c>
      <c r="S47" s="7">
        <v>10.478</v>
      </c>
    </row>
    <row r="48" spans="1:19" x14ac:dyDescent="0.3">
      <c r="A48" t="str">
        <v>China</v>
      </c>
      <c r="B48">
        <v>0.79700000000000004</v>
      </c>
      <c r="C48">
        <v>0.35743752000000001</v>
      </c>
      <c r="E48">
        <v>0.439</v>
      </c>
      <c r="G48">
        <v>0.35743752000000001</v>
      </c>
      <c r="I48" s="1" t="str">
        <v>Brazil</v>
      </c>
      <c r="J48" s="22">
        <v>0.78600000000000003</v>
      </c>
      <c r="K48" s="22">
        <v>0.51639440000000003</v>
      </c>
      <c r="L48" s="7">
        <v>212812000</v>
      </c>
      <c r="M48" s="7">
        <v>9990</v>
      </c>
      <c r="N48" s="7">
        <v>18011.285459999999</v>
      </c>
      <c r="O48" s="7">
        <v>0.51639440000000003</v>
      </c>
      <c r="P48" s="7">
        <v>0.78600000000000003</v>
      </c>
      <c r="Q48" s="7">
        <v>-28.4</v>
      </c>
      <c r="R48" s="7">
        <v>75.847999999999999</v>
      </c>
      <c r="S48" s="7">
        <v>8.4253717520000002</v>
      </c>
    </row>
    <row r="49" spans="1:19" x14ac:dyDescent="0.3">
      <c r="A49" t="str">
        <v>Colombia</v>
      </c>
      <c r="B49">
        <v>0.78800000000000003</v>
      </c>
      <c r="C49">
        <v>0.53881924999999997</v>
      </c>
      <c r="E49">
        <v>0.60599999999999998</v>
      </c>
      <c r="G49">
        <v>0.53881924999999997</v>
      </c>
      <c r="I49" s="1" t="str">
        <v>British Virgin Islands</v>
      </c>
      <c r="J49" s="22" t="str">
        <v/>
      </c>
      <c r="K49" s="22" t="str">
        <v/>
      </c>
      <c r="L49" s="7">
        <v>39732</v>
      </c>
      <c r="M49" s="7">
        <v>37900</v>
      </c>
      <c r="N49" s="7" t="str">
        <v/>
      </c>
      <c r="O49" s="7" t="str">
        <v/>
      </c>
      <c r="P49" s="7" t="str">
        <v/>
      </c>
      <c r="Q49" s="7" t="str">
        <v/>
      </c>
      <c r="R49" s="7" t="str">
        <v/>
      </c>
      <c r="S49" s="7" t="str">
        <v/>
      </c>
    </row>
    <row r="50" spans="1:19" x14ac:dyDescent="0.3">
      <c r="A50" t="str">
        <v>Comoros</v>
      </c>
      <c r="B50">
        <v>0.60299999999999998</v>
      </c>
      <c r="C50">
        <v>0.45332187000000002</v>
      </c>
      <c r="E50">
        <v>0.58799999999999997</v>
      </c>
      <c r="G50">
        <v>0.45332187000000002</v>
      </c>
      <c r="I50" s="1" t="str">
        <v>Brunei</v>
      </c>
      <c r="J50" s="22">
        <v>0.83699999999999997</v>
      </c>
      <c r="K50" s="22" t="str">
        <v/>
      </c>
      <c r="L50" s="7">
        <v>466330</v>
      </c>
      <c r="M50" s="7">
        <v>34325</v>
      </c>
      <c r="N50" s="7">
        <v>75826.873380000005</v>
      </c>
      <c r="O50" s="7" t="str">
        <v/>
      </c>
      <c r="P50" s="7">
        <v>0.83699999999999997</v>
      </c>
      <c r="Q50" s="7" t="str">
        <v/>
      </c>
      <c r="R50" s="7">
        <v>75.326999999999998</v>
      </c>
      <c r="S50" s="7">
        <v>9.282</v>
      </c>
    </row>
    <row r="51" spans="1:19" x14ac:dyDescent="0.3">
      <c r="A51" t="str">
        <v>Costa Rica</v>
      </c>
      <c r="B51">
        <v>0.83299999999999996</v>
      </c>
      <c r="C51">
        <v>0.45829140000000002</v>
      </c>
      <c r="E51">
        <v>0.93899999999999995</v>
      </c>
      <c r="G51">
        <v>0.45829140000000002</v>
      </c>
      <c r="I51" s="1" t="str">
        <v>Bulgaria</v>
      </c>
      <c r="J51" s="22">
        <v>0.84499999999999997</v>
      </c>
      <c r="K51" s="22">
        <v>0.38201501999999998</v>
      </c>
      <c r="L51" s="7">
        <v>6714560</v>
      </c>
      <c r="M51" s="7">
        <v>17426</v>
      </c>
      <c r="N51" s="7">
        <v>32174.93003</v>
      </c>
      <c r="O51" s="7">
        <v>0.38201501999999998</v>
      </c>
      <c r="P51" s="7">
        <v>0.84499999999999997</v>
      </c>
      <c r="Q51" s="7" t="str">
        <v/>
      </c>
      <c r="R51" s="7">
        <v>75.635999999999996</v>
      </c>
      <c r="S51" s="7">
        <v>11.45453092</v>
      </c>
    </row>
    <row r="52" spans="1:19" x14ac:dyDescent="0.3">
      <c r="A52" t="str">
        <v>Croatia</v>
      </c>
      <c r="B52">
        <v>0.88900000000000001</v>
      </c>
      <c r="C52">
        <v>0.30017322000000002</v>
      </c>
      <c r="E52">
        <v>0.66800000000000004</v>
      </c>
      <c r="G52">
        <v>0.30017322000000002</v>
      </c>
      <c r="I52" s="1" t="str">
        <v>Burkina Faso</v>
      </c>
      <c r="J52" s="22">
        <v>0.45900000000000002</v>
      </c>
      <c r="K52" s="22">
        <v>0.37391287000000001</v>
      </c>
      <c r="L52" s="7">
        <v>24074600</v>
      </c>
      <c r="M52" s="7">
        <v>1124</v>
      </c>
      <c r="N52" s="7">
        <v>2390.5277780000001</v>
      </c>
      <c r="O52" s="7">
        <v>0.37391287000000001</v>
      </c>
      <c r="P52" s="7">
        <v>0.45900000000000002</v>
      </c>
      <c r="Q52" s="7" t="str">
        <v/>
      </c>
      <c r="R52" s="7">
        <v>61.091999999999999</v>
      </c>
      <c r="S52" s="7">
        <v>2.266550064</v>
      </c>
    </row>
    <row r="53" spans="1:19" x14ac:dyDescent="0.3">
      <c r="A53" t="str">
        <v>Cyprus</v>
      </c>
      <c r="B53">
        <v>0.91300000000000003</v>
      </c>
      <c r="C53">
        <v>0.31534076</v>
      </c>
      <c r="E53">
        <v>0.41399999999999998</v>
      </c>
      <c r="G53">
        <v>0.31534076</v>
      </c>
      <c r="I53" s="1" t="str">
        <v>Burundi</v>
      </c>
      <c r="J53" s="22">
        <v>0.439</v>
      </c>
      <c r="K53" s="22">
        <v>0.37456086</v>
      </c>
      <c r="L53" s="7">
        <v>14390000</v>
      </c>
      <c r="M53" s="7">
        <v>469</v>
      </c>
      <c r="N53" s="7">
        <v>858.91556809999997</v>
      </c>
      <c r="O53" s="7">
        <v>0.37456086</v>
      </c>
      <c r="P53" s="7">
        <v>0.439</v>
      </c>
      <c r="Q53" s="7" t="str">
        <v/>
      </c>
      <c r="R53" s="7">
        <v>63.651000000000003</v>
      </c>
      <c r="S53" s="7">
        <v>3.4739355559999998</v>
      </c>
    </row>
    <row r="54" spans="1:19" x14ac:dyDescent="0.3">
      <c r="A54" t="str">
        <v>Czech Republic</v>
      </c>
      <c r="B54">
        <v>0.91500000000000004</v>
      </c>
      <c r="C54">
        <v>0.25870389999999999</v>
      </c>
      <c r="E54">
        <v>0.41599999999999998</v>
      </c>
      <c r="G54">
        <v>0.25870389999999999</v>
      </c>
      <c r="I54" s="1" t="str">
        <v>Cambodia</v>
      </c>
      <c r="J54" s="22">
        <v>0.60599999999999998</v>
      </c>
      <c r="K54" s="22" t="str">
        <v/>
      </c>
      <c r="L54" s="7">
        <v>17848000</v>
      </c>
      <c r="M54" s="7">
        <v>2790</v>
      </c>
      <c r="N54" s="7">
        <v>4931.016842</v>
      </c>
      <c r="O54" s="7" t="str">
        <v/>
      </c>
      <c r="P54" s="7">
        <v>0.60599999999999998</v>
      </c>
      <c r="Q54" s="7" t="str">
        <v/>
      </c>
      <c r="R54" s="7">
        <v>70.668000000000006</v>
      </c>
      <c r="S54" s="7">
        <v>5.197100163</v>
      </c>
    </row>
    <row r="55" spans="1:19" x14ac:dyDescent="0.3">
      <c r="A55" t="str">
        <v>DR Congo</v>
      </c>
      <c r="B55">
        <v>0.52200000000000002</v>
      </c>
      <c r="C55">
        <v>0.44673239999999997</v>
      </c>
      <c r="E55">
        <v>0.878</v>
      </c>
      <c r="G55">
        <v>0.44673239999999997</v>
      </c>
      <c r="I55" s="1" t="str">
        <v>Cameroon</v>
      </c>
      <c r="J55" s="22">
        <v>0.58799999999999997</v>
      </c>
      <c r="K55" s="22">
        <v>0.42176074000000002</v>
      </c>
      <c r="L55" s="7">
        <v>29879300</v>
      </c>
      <c r="M55" s="7">
        <v>1875</v>
      </c>
      <c r="N55" s="7">
        <v>4746.2658199999996</v>
      </c>
      <c r="O55" s="7">
        <v>0.42176074000000002</v>
      </c>
      <c r="P55" s="7">
        <v>0.58799999999999997</v>
      </c>
      <c r="Q55" s="7" t="str">
        <v/>
      </c>
      <c r="R55" s="7">
        <v>63.7</v>
      </c>
      <c r="S55" s="7">
        <v>6.5741804119999996</v>
      </c>
    </row>
    <row r="56" spans="1:19" x14ac:dyDescent="0.3">
      <c r="A56" t="str">
        <v>Denmark</v>
      </c>
      <c r="B56">
        <v>0.96199999999999997</v>
      </c>
      <c r="C56">
        <v>0.29259402000000001</v>
      </c>
      <c r="E56">
        <v>0.79700000000000004</v>
      </c>
      <c r="G56">
        <v>0.29259402000000001</v>
      </c>
      <c r="I56" s="1" t="str">
        <v>Canada</v>
      </c>
      <c r="J56" s="22">
        <v>0.93899999999999995</v>
      </c>
      <c r="K56" s="22">
        <v>0.29851684000000001</v>
      </c>
      <c r="L56" s="7">
        <v>40126700</v>
      </c>
      <c r="M56" s="7">
        <v>55458</v>
      </c>
      <c r="N56" s="7">
        <v>54688.417289999998</v>
      </c>
      <c r="O56" s="7">
        <v>0.29851684000000001</v>
      </c>
      <c r="P56" s="7">
        <v>0.93899999999999995</v>
      </c>
      <c r="Q56" s="7">
        <v>-9</v>
      </c>
      <c r="R56" s="7">
        <v>82.63</v>
      </c>
      <c r="S56" s="7">
        <v>13.869999890000001</v>
      </c>
    </row>
    <row r="57" spans="1:19" x14ac:dyDescent="0.3">
      <c r="A57" t="str">
        <v>Djibouti</v>
      </c>
      <c r="B57">
        <v>0.51300000000000001</v>
      </c>
      <c r="C57">
        <v>0.41586014999999998</v>
      </c>
      <c r="E57">
        <v>0.78800000000000003</v>
      </c>
      <c r="G57">
        <v>0.41586014999999998</v>
      </c>
      <c r="I57" s="1" t="str">
        <v>Cape Verde</v>
      </c>
      <c r="J57" s="22">
        <v>0.66800000000000004</v>
      </c>
      <c r="K57" s="22">
        <v>0.42381087000000001</v>
      </c>
      <c r="L57" s="7">
        <v>527326</v>
      </c>
      <c r="M57" s="7">
        <v>5283</v>
      </c>
      <c r="N57" s="7">
        <v>8165.3791719999999</v>
      </c>
      <c r="O57" s="7">
        <v>0.42381087000000001</v>
      </c>
      <c r="P57" s="7">
        <v>0.66800000000000004</v>
      </c>
      <c r="Q57" s="7" t="str">
        <v/>
      </c>
      <c r="R57" s="7">
        <v>76.058999999999997</v>
      </c>
      <c r="S57" s="7">
        <v>6.0900390499999997</v>
      </c>
    </row>
    <row r="58" spans="1:19" x14ac:dyDescent="0.3">
      <c r="A58" t="str">
        <v>Dominican Republic</v>
      </c>
      <c r="B58">
        <v>0.77600000000000002</v>
      </c>
      <c r="C58">
        <v>0.38397565</v>
      </c>
      <c r="E58">
        <v>0.60299999999999998</v>
      </c>
      <c r="G58">
        <v>0.38397565</v>
      </c>
      <c r="I58" s="1" t="str">
        <v>Cayman Islands</v>
      </c>
      <c r="J58" s="22" t="str">
        <v/>
      </c>
      <c r="K58" s="22" t="str">
        <v/>
      </c>
      <c r="L58" s="7">
        <v>75844</v>
      </c>
      <c r="M58" s="7">
        <v>93972</v>
      </c>
      <c r="N58" s="7" t="str">
        <v/>
      </c>
      <c r="O58" s="7" t="str">
        <v/>
      </c>
      <c r="P58" s="7" t="str">
        <v/>
      </c>
      <c r="Q58" s="7" t="str">
        <v/>
      </c>
      <c r="R58" s="7" t="str">
        <v/>
      </c>
      <c r="S58" s="7" t="str">
        <v/>
      </c>
    </row>
    <row r="59" spans="1:19" x14ac:dyDescent="0.3">
      <c r="A59" t="str">
        <v>Ecuador</v>
      </c>
      <c r="B59">
        <v>0.77700000000000002</v>
      </c>
      <c r="C59">
        <v>0.44579553999999999</v>
      </c>
      <c r="E59">
        <v>0.83299999999999996</v>
      </c>
      <c r="G59">
        <v>0.44579553999999999</v>
      </c>
      <c r="I59" s="1" t="str">
        <v>Central African Republic</v>
      </c>
      <c r="J59" s="22">
        <v>0.41399999999999998</v>
      </c>
      <c r="K59" s="22">
        <v>0.43034457999999998</v>
      </c>
      <c r="L59" s="7">
        <v>5513280</v>
      </c>
      <c r="M59" s="7">
        <v>532</v>
      </c>
      <c r="N59" s="7">
        <v>1099.8606810000001</v>
      </c>
      <c r="O59" s="7">
        <v>0.43034457999999998</v>
      </c>
      <c r="P59" s="7">
        <v>0.41399999999999998</v>
      </c>
      <c r="Q59" s="7" t="str">
        <v/>
      </c>
      <c r="R59" s="7">
        <v>57.408000000000001</v>
      </c>
      <c r="S59" s="7">
        <v>3.989431459</v>
      </c>
    </row>
    <row r="60" spans="1:19" x14ac:dyDescent="0.3">
      <c r="A60" t="str">
        <v>Egypt</v>
      </c>
      <c r="B60">
        <v>0.754</v>
      </c>
      <c r="C60">
        <v>0.28482037999999998</v>
      </c>
      <c r="E60">
        <v>0.88900000000000001</v>
      </c>
      <c r="G60">
        <v>0.28482037999999998</v>
      </c>
      <c r="I60" s="1" t="str">
        <v>Chad</v>
      </c>
      <c r="J60" s="22">
        <v>0.41599999999999998</v>
      </c>
      <c r="K60" s="22">
        <v>0.37357685000000002</v>
      </c>
      <c r="L60" s="7">
        <v>21003700</v>
      </c>
      <c r="M60" s="7">
        <v>895</v>
      </c>
      <c r="N60" s="7">
        <v>1748.000992</v>
      </c>
      <c r="O60" s="7">
        <v>0.37357685000000002</v>
      </c>
      <c r="P60" s="7">
        <v>0.41599999999999998</v>
      </c>
      <c r="Q60" s="7" t="str">
        <v/>
      </c>
      <c r="R60" s="7">
        <v>55.069000000000003</v>
      </c>
      <c r="S60" s="7">
        <v>2.334984892</v>
      </c>
    </row>
    <row r="61" spans="1:19" x14ac:dyDescent="0.3">
      <c r="A61" t="str">
        <v>El Salvador</v>
      </c>
      <c r="B61">
        <v>0.67800000000000005</v>
      </c>
      <c r="C61">
        <v>0.39802377999999999</v>
      </c>
      <c r="E61">
        <v>0.76200000000000001</v>
      </c>
      <c r="G61">
        <v>0.39802377999999999</v>
      </c>
      <c r="I61" s="1" t="str">
        <v>Chile</v>
      </c>
      <c r="J61" s="22">
        <v>0.878</v>
      </c>
      <c r="K61" s="22">
        <v>0.43042782000000002</v>
      </c>
      <c r="L61" s="7">
        <v>19859900</v>
      </c>
      <c r="M61" s="7">
        <v>17312</v>
      </c>
      <c r="N61" s="7">
        <v>28047.1698</v>
      </c>
      <c r="O61" s="7">
        <v>0.43042782000000002</v>
      </c>
      <c r="P61" s="7">
        <v>0.878</v>
      </c>
      <c r="Q61" s="7">
        <v>-22.6</v>
      </c>
      <c r="R61" s="7">
        <v>81.167000000000002</v>
      </c>
      <c r="S61" s="7">
        <v>11.291053939999999</v>
      </c>
    </row>
    <row r="62" spans="1:19" x14ac:dyDescent="0.3">
      <c r="A62" t="str">
        <v>Equatorial Guinea</v>
      </c>
      <c r="B62">
        <v>0.67400000000000004</v>
      </c>
      <c r="C62">
        <v>0.38542363000000002</v>
      </c>
      <c r="E62">
        <v>0.91300000000000003</v>
      </c>
      <c r="G62">
        <v>0.38542363000000002</v>
      </c>
      <c r="I62" s="1" t="str">
        <v>China</v>
      </c>
      <c r="J62" s="22">
        <v>0.79700000000000004</v>
      </c>
      <c r="K62" s="22">
        <v>0.35743752000000001</v>
      </c>
      <c r="L62" s="7">
        <v>1416100000</v>
      </c>
      <c r="M62" s="7">
        <v>13581</v>
      </c>
      <c r="N62" s="7">
        <v>22029.222529999999</v>
      </c>
      <c r="O62" s="7">
        <v>0.35743752000000001</v>
      </c>
      <c r="P62" s="7">
        <v>0.79700000000000004</v>
      </c>
      <c r="Q62" s="7">
        <v>-40.9</v>
      </c>
      <c r="R62" s="7">
        <v>77.953000000000003</v>
      </c>
      <c r="S62" s="7">
        <v>8.0361815970000006</v>
      </c>
    </row>
    <row r="63" spans="1:19" x14ac:dyDescent="0.3">
      <c r="A63" t="str">
        <v>Estonia</v>
      </c>
      <c r="B63">
        <v>0.90500000000000003</v>
      </c>
      <c r="C63">
        <v>0.32252404000000001</v>
      </c>
      <c r="E63">
        <v>0.91500000000000004</v>
      </c>
      <c r="G63">
        <v>0.32252404000000001</v>
      </c>
      <c r="I63" s="1" t="str">
        <v>Colombia</v>
      </c>
      <c r="J63" s="22">
        <v>0.78800000000000003</v>
      </c>
      <c r="K63" s="22">
        <v>0.53881924999999997</v>
      </c>
      <c r="L63" s="7">
        <v>53425600</v>
      </c>
      <c r="M63" s="7">
        <v>8007</v>
      </c>
      <c r="N63" s="7">
        <v>18665.949670000002</v>
      </c>
      <c r="O63" s="7">
        <v>0.53881924999999997</v>
      </c>
      <c r="P63" s="7">
        <v>0.78800000000000003</v>
      </c>
      <c r="Q63" s="7">
        <v>-5.2</v>
      </c>
      <c r="R63" s="7">
        <v>77.724999999999994</v>
      </c>
      <c r="S63" s="7">
        <v>9.0315815970000006</v>
      </c>
    </row>
    <row r="64" spans="1:19" x14ac:dyDescent="0.3">
      <c r="A64" t="str">
        <v>Eswatini</v>
      </c>
      <c r="B64">
        <v>0.69499999999999995</v>
      </c>
      <c r="C64">
        <v>0.54579794000000004</v>
      </c>
      <c r="E64">
        <v>0.52200000000000002</v>
      </c>
      <c r="G64">
        <v>0.54579794000000004</v>
      </c>
      <c r="I64" s="1" t="str">
        <v>Comoros</v>
      </c>
      <c r="J64" s="22">
        <v>0.60299999999999998</v>
      </c>
      <c r="K64" s="22">
        <v>0.45332187000000002</v>
      </c>
      <c r="L64" s="7">
        <v>882847</v>
      </c>
      <c r="M64" s="7">
        <v>1753</v>
      </c>
      <c r="N64" s="7">
        <v>3481.1214399999999</v>
      </c>
      <c r="O64" s="7">
        <v>0.45332187000000002</v>
      </c>
      <c r="P64" s="7">
        <v>0.60299999999999998</v>
      </c>
      <c r="Q64" s="7" t="str">
        <v/>
      </c>
      <c r="R64" s="7">
        <v>66.777000000000001</v>
      </c>
      <c r="S64" s="7">
        <v>6.0068402289999998</v>
      </c>
    </row>
    <row r="65" spans="1:19" x14ac:dyDescent="0.3">
      <c r="A65" t="str">
        <v>Ethiopia</v>
      </c>
      <c r="B65">
        <v>0.497</v>
      </c>
      <c r="C65">
        <v>0.31141794</v>
      </c>
      <c r="E65">
        <v>0.96199999999999997</v>
      </c>
      <c r="G65">
        <v>0.31141794</v>
      </c>
      <c r="I65" s="1" t="str">
        <v>Cook Islands</v>
      </c>
      <c r="J65" s="22" t="str">
        <v/>
      </c>
      <c r="K65" s="22" t="str">
        <v/>
      </c>
      <c r="L65" s="7">
        <v>13263</v>
      </c>
      <c r="M65" s="7">
        <v>27612</v>
      </c>
      <c r="N65" s="7" t="str">
        <v/>
      </c>
      <c r="O65" s="7" t="str">
        <v/>
      </c>
      <c r="P65" s="7" t="str">
        <v/>
      </c>
      <c r="Q65" s="7" t="str">
        <v/>
      </c>
      <c r="R65" s="7" t="str">
        <v/>
      </c>
      <c r="S65" s="7" t="str">
        <v/>
      </c>
    </row>
    <row r="66" spans="1:19" x14ac:dyDescent="0.3">
      <c r="A66" t="str">
        <v>Fiji</v>
      </c>
      <c r="B66">
        <v>0.73099999999999998</v>
      </c>
      <c r="C66">
        <v>0.30706867999999998</v>
      </c>
      <c r="E66">
        <v>0.51300000000000001</v>
      </c>
      <c r="G66">
        <v>0.30706867999999998</v>
      </c>
      <c r="I66" s="1" t="str">
        <v>Costa Rica</v>
      </c>
      <c r="J66" s="22">
        <v>0.83299999999999996</v>
      </c>
      <c r="K66" s="22">
        <v>0.45829140000000002</v>
      </c>
      <c r="L66" s="7">
        <v>5152950</v>
      </c>
      <c r="M66" s="7">
        <v>19909</v>
      </c>
      <c r="N66" s="7">
        <v>23417.21315</v>
      </c>
      <c r="O66" s="7">
        <v>0.45829140000000002</v>
      </c>
      <c r="P66" s="7">
        <v>0.83299999999999996</v>
      </c>
      <c r="Q66" s="7">
        <v>-1</v>
      </c>
      <c r="R66" s="7">
        <v>80.799000000000007</v>
      </c>
      <c r="S66" s="7">
        <v>8.8447524990000002</v>
      </c>
    </row>
    <row r="67" spans="1:19" x14ac:dyDescent="0.3">
      <c r="A67" t="str">
        <v>Finland</v>
      </c>
      <c r="B67">
        <v>0.94799999999999995</v>
      </c>
      <c r="C67">
        <v>0.27925923000000002</v>
      </c>
      <c r="E67">
        <v>0.76100000000000001</v>
      </c>
      <c r="G67">
        <v>0.27925923000000002</v>
      </c>
      <c r="I67" s="1" t="str">
        <v>Croatia</v>
      </c>
      <c r="J67" s="22">
        <v>0.88900000000000001</v>
      </c>
      <c r="K67" s="22">
        <v>0.30017322000000002</v>
      </c>
      <c r="L67" s="7">
        <v>3848160</v>
      </c>
      <c r="M67" s="7">
        <v>25714</v>
      </c>
      <c r="N67" s="7">
        <v>41379.890270000004</v>
      </c>
      <c r="O67" s="7">
        <v>0.30017322000000002</v>
      </c>
      <c r="P67" s="7">
        <v>0.88900000000000001</v>
      </c>
      <c r="Q67" s="7" t="str">
        <v/>
      </c>
      <c r="R67" s="7">
        <v>78.58</v>
      </c>
      <c r="S67" s="7">
        <v>12.0951217</v>
      </c>
    </row>
    <row r="68" spans="1:19" x14ac:dyDescent="0.3">
      <c r="A68" t="str">
        <v>France</v>
      </c>
      <c r="B68">
        <v>0.92</v>
      </c>
      <c r="C68">
        <v>0.31236910000000001</v>
      </c>
      <c r="E68">
        <v>0.77600000000000002</v>
      </c>
      <c r="G68">
        <v>0.31236910000000001</v>
      </c>
      <c r="I68" s="1" t="str">
        <v>Cuba</v>
      </c>
      <c r="J68" s="22">
        <v>0.76200000000000001</v>
      </c>
      <c r="K68" s="22" t="str">
        <v/>
      </c>
      <c r="L68" s="7">
        <v>10937200</v>
      </c>
      <c r="M68" s="7">
        <v>18468</v>
      </c>
      <c r="N68" s="7">
        <v>8415.4117079999996</v>
      </c>
      <c r="O68" s="7" t="str">
        <v/>
      </c>
      <c r="P68" s="7">
        <v>0.76200000000000001</v>
      </c>
      <c r="Q68" s="7" t="str">
        <v/>
      </c>
      <c r="R68" s="7">
        <v>78.084999999999994</v>
      </c>
      <c r="S68" s="7">
        <v>10.631489029999999</v>
      </c>
    </row>
    <row r="69" spans="1:19" x14ac:dyDescent="0.3">
      <c r="A69" t="str">
        <v>Gabon</v>
      </c>
      <c r="B69">
        <v>0.73299999999999998</v>
      </c>
      <c r="C69">
        <v>0.38024372000000001</v>
      </c>
      <c r="E69">
        <v>0.77700000000000002</v>
      </c>
      <c r="G69">
        <v>0.38024372000000001</v>
      </c>
      <c r="I69" s="1" t="str">
        <v>Curacao</v>
      </c>
      <c r="J69" s="22" t="str">
        <v/>
      </c>
      <c r="K69" s="22" t="str">
        <v/>
      </c>
      <c r="L69" s="7">
        <v>185487</v>
      </c>
      <c r="M69" s="7">
        <v>17691</v>
      </c>
      <c r="N69" s="7" t="str">
        <v/>
      </c>
      <c r="O69" s="7" t="str">
        <v/>
      </c>
      <c r="P69" s="7" t="str">
        <v/>
      </c>
      <c r="Q69" s="7" t="str">
        <v/>
      </c>
      <c r="R69" s="7" t="str">
        <v/>
      </c>
      <c r="S69" s="7" t="str">
        <v/>
      </c>
    </row>
    <row r="70" spans="1:19" x14ac:dyDescent="0.3">
      <c r="A70" t="str">
        <v>Gambia</v>
      </c>
      <c r="B70">
        <v>0.52400000000000002</v>
      </c>
      <c r="C70">
        <v>0.38757205</v>
      </c>
      <c r="E70">
        <v>0.754</v>
      </c>
      <c r="G70">
        <v>0.38757205</v>
      </c>
      <c r="I70" s="1" t="str">
        <v>Cyprus</v>
      </c>
      <c r="J70" s="22">
        <v>0.91300000000000003</v>
      </c>
      <c r="K70" s="22">
        <v>0.31534076</v>
      </c>
      <c r="L70" s="7">
        <v>1370750</v>
      </c>
      <c r="M70" s="7">
        <v>28259</v>
      </c>
      <c r="N70" s="7">
        <v>45394.15625</v>
      </c>
      <c r="O70" s="7">
        <v>0.31534076</v>
      </c>
      <c r="P70" s="7">
        <v>0.91300000000000003</v>
      </c>
      <c r="Q70" s="7" t="str">
        <v/>
      </c>
      <c r="R70" s="7">
        <v>81.647999999999996</v>
      </c>
      <c r="S70" s="7">
        <v>12.5573721</v>
      </c>
    </row>
    <row r="71" spans="1:19" x14ac:dyDescent="0.3">
      <c r="A71" t="str">
        <v>Georgia</v>
      </c>
      <c r="B71">
        <v>0.84399999999999997</v>
      </c>
      <c r="C71">
        <v>0.34756895999999998</v>
      </c>
      <c r="E71">
        <v>0.67800000000000005</v>
      </c>
      <c r="G71">
        <v>0.34756895999999998</v>
      </c>
      <c r="I71" s="1" t="str">
        <v>Czech Republic</v>
      </c>
      <c r="J71" s="22">
        <v>0.91500000000000004</v>
      </c>
      <c r="K71" s="22">
        <v>0.25870389999999999</v>
      </c>
      <c r="L71" s="7">
        <v>10609200</v>
      </c>
      <c r="M71" s="7">
        <v>33956</v>
      </c>
      <c r="N71" s="7">
        <v>45889.014009999999</v>
      </c>
      <c r="O71" s="7">
        <v>0.25870389999999999</v>
      </c>
      <c r="P71" s="7">
        <v>0.91500000000000004</v>
      </c>
      <c r="Q71" s="7">
        <v>-14.6</v>
      </c>
      <c r="R71" s="7">
        <v>79.834000000000003</v>
      </c>
      <c r="S71" s="7">
        <v>12.963182140000001</v>
      </c>
    </row>
    <row r="72" spans="1:19" x14ac:dyDescent="0.3">
      <c r="A72" t="str">
        <v>Germany</v>
      </c>
      <c r="B72">
        <v>0.95899999999999996</v>
      </c>
      <c r="C72">
        <v>0.32433450000000003</v>
      </c>
      <c r="E72">
        <v>0.67400000000000004</v>
      </c>
      <c r="G72">
        <v>0.32433450000000003</v>
      </c>
      <c r="I72" s="1" t="str">
        <v>DR Congo</v>
      </c>
      <c r="J72" s="22">
        <v>0.52200000000000002</v>
      </c>
      <c r="K72" s="22">
        <v>0.44673239999999997</v>
      </c>
      <c r="L72" s="7">
        <v>112832000</v>
      </c>
      <c r="M72" s="7">
        <v>701</v>
      </c>
      <c r="N72" s="7">
        <v>1431.0479310000001</v>
      </c>
      <c r="O72" s="7">
        <v>0.44673239999999997</v>
      </c>
      <c r="P72" s="7">
        <v>0.52200000000000002</v>
      </c>
      <c r="Q72" s="7" t="str">
        <v/>
      </c>
      <c r="R72" s="7">
        <v>61.895000000000003</v>
      </c>
      <c r="S72" s="7">
        <v>7.3785610860000004</v>
      </c>
    </row>
    <row r="73" spans="1:19" x14ac:dyDescent="0.3">
      <c r="A73" t="str">
        <v>Ghana</v>
      </c>
      <c r="B73">
        <v>0.628</v>
      </c>
      <c r="C73">
        <v>0.43508595</v>
      </c>
      <c r="E73">
        <v>0.503</v>
      </c>
      <c r="G73">
        <v>0.43508595</v>
      </c>
      <c r="I73" s="1" t="str">
        <v>Denmark</v>
      </c>
      <c r="J73" s="22">
        <v>0.96199999999999997</v>
      </c>
      <c r="K73" s="22">
        <v>0.29259402000000001</v>
      </c>
      <c r="L73" s="7">
        <v>6002510</v>
      </c>
      <c r="M73" s="7">
        <v>74959</v>
      </c>
      <c r="N73" s="7">
        <v>76007.856690000001</v>
      </c>
      <c r="O73" s="7">
        <v>0.29259402000000001</v>
      </c>
      <c r="P73" s="7">
        <v>0.96199999999999997</v>
      </c>
      <c r="Q73" s="7">
        <v>16.600000000000001</v>
      </c>
      <c r="R73" s="7">
        <v>81.933000000000007</v>
      </c>
      <c r="S73" s="7">
        <v>13.027320599999999</v>
      </c>
    </row>
    <row r="74" spans="1:19" x14ac:dyDescent="0.3">
      <c r="A74" t="str">
        <v>Greece</v>
      </c>
      <c r="B74">
        <v>0.90800000000000003</v>
      </c>
      <c r="C74">
        <v>0.33373599999999998</v>
      </c>
      <c r="E74">
        <v>0.90500000000000003</v>
      </c>
      <c r="G74">
        <v>0.33373599999999998</v>
      </c>
      <c r="I74" s="1" t="str">
        <v>Djibouti</v>
      </c>
      <c r="J74" s="22">
        <v>0.51300000000000001</v>
      </c>
      <c r="K74" s="22">
        <v>0.41586014999999998</v>
      </c>
      <c r="L74" s="7">
        <v>1184080</v>
      </c>
      <c r="M74" s="7">
        <v>3874</v>
      </c>
      <c r="N74" s="7">
        <v>6367.6060260000004</v>
      </c>
      <c r="O74" s="7">
        <v>0.41586014999999998</v>
      </c>
      <c r="P74" s="7">
        <v>0.51300000000000001</v>
      </c>
      <c r="Q74" s="7" t="str">
        <v/>
      </c>
      <c r="R74" s="7">
        <v>65.986999999999995</v>
      </c>
      <c r="S74" s="7">
        <v>3.9504150299999998</v>
      </c>
    </row>
    <row r="75" spans="1:19" x14ac:dyDescent="0.3">
      <c r="A75" t="str">
        <v>Grenada</v>
      </c>
      <c r="B75">
        <v>0.79100000000000004</v>
      </c>
      <c r="C75">
        <v>0.4381641</v>
      </c>
      <c r="E75">
        <v>0.69499999999999995</v>
      </c>
      <c r="G75">
        <v>0.4381641</v>
      </c>
      <c r="I75" s="1" t="str">
        <v>Dominica</v>
      </c>
      <c r="J75" s="22">
        <v>0.76100000000000001</v>
      </c>
      <c r="K75" s="22" t="str">
        <v/>
      </c>
      <c r="L75" s="7">
        <v>65871</v>
      </c>
      <c r="M75" s="7">
        <v>11264</v>
      </c>
      <c r="N75" s="7">
        <v>16001.12551</v>
      </c>
      <c r="O75" s="7" t="str">
        <v/>
      </c>
      <c r="P75" s="7">
        <v>0.76100000000000001</v>
      </c>
      <c r="Q75" s="7" t="str">
        <v/>
      </c>
      <c r="R75" s="7">
        <v>71.132000000000005</v>
      </c>
      <c r="S75" s="7">
        <v>10.12508965</v>
      </c>
    </row>
    <row r="76" spans="1:19" x14ac:dyDescent="0.3">
      <c r="A76" t="str">
        <v>Guatemala</v>
      </c>
      <c r="B76">
        <v>0.66200000000000003</v>
      </c>
      <c r="C76">
        <v>0.45212682999999998</v>
      </c>
      <c r="E76">
        <v>0.497</v>
      </c>
      <c r="G76">
        <v>0.45212682999999998</v>
      </c>
      <c r="I76" s="1" t="str">
        <v>Dominican Republic</v>
      </c>
      <c r="J76" s="22">
        <v>0.77600000000000002</v>
      </c>
      <c r="K76" s="22">
        <v>0.38397565</v>
      </c>
      <c r="L76" s="7">
        <v>11520500</v>
      </c>
      <c r="M76" s="7">
        <v>11096</v>
      </c>
      <c r="N76" s="7">
        <v>22023.510590000002</v>
      </c>
      <c r="O76" s="7">
        <v>0.38397565</v>
      </c>
      <c r="P76" s="7">
        <v>0.77600000000000002</v>
      </c>
      <c r="Q76" s="7" t="str">
        <v/>
      </c>
      <c r="R76" s="7">
        <v>73.72</v>
      </c>
      <c r="S76" s="7">
        <v>9.4445257560000009</v>
      </c>
    </row>
    <row r="77" spans="1:19" x14ac:dyDescent="0.3">
      <c r="A77" t="str">
        <v>Guinea</v>
      </c>
      <c r="B77">
        <v>0.5</v>
      </c>
      <c r="C77">
        <v>0.29591953999999998</v>
      </c>
      <c r="E77">
        <v>0.73099999999999998</v>
      </c>
      <c r="G77">
        <v>0.29591953999999998</v>
      </c>
      <c r="I77" s="1" t="str">
        <v>Ecuador</v>
      </c>
      <c r="J77" s="22">
        <v>0.77700000000000002</v>
      </c>
      <c r="K77" s="22">
        <v>0.44579553999999999</v>
      </c>
      <c r="L77" s="7">
        <v>18289900</v>
      </c>
      <c r="M77" s="7">
        <v>6871</v>
      </c>
      <c r="N77" s="7">
        <v>13986.39698</v>
      </c>
      <c r="O77" s="7">
        <v>0.44579553999999999</v>
      </c>
      <c r="P77" s="7">
        <v>0.77700000000000002</v>
      </c>
      <c r="Q77" s="7" t="str">
        <v/>
      </c>
      <c r="R77" s="7">
        <v>77.391999999999996</v>
      </c>
      <c r="S77" s="7">
        <v>8.9700002669999996</v>
      </c>
    </row>
    <row r="78" spans="1:19" x14ac:dyDescent="0.3">
      <c r="A78" t="str">
        <v>Guinea-Bissau</v>
      </c>
      <c r="B78">
        <v>0.51400000000000001</v>
      </c>
      <c r="C78">
        <v>0.33435068000000001</v>
      </c>
      <c r="E78">
        <v>0.94799999999999995</v>
      </c>
      <c r="G78">
        <v>0.33435068000000001</v>
      </c>
      <c r="I78" s="1" t="str">
        <v>Egypt</v>
      </c>
      <c r="J78" s="22">
        <v>0.754</v>
      </c>
      <c r="K78" s="22">
        <v>0.28482037999999998</v>
      </c>
      <c r="L78" s="7">
        <v>118366000</v>
      </c>
      <c r="M78" s="7">
        <v>2934</v>
      </c>
      <c r="N78" s="7">
        <v>16218.13521</v>
      </c>
      <c r="O78" s="7">
        <v>0.28482037999999998</v>
      </c>
      <c r="P78" s="7">
        <v>0.754</v>
      </c>
      <c r="Q78" s="7">
        <v>-57.9</v>
      </c>
      <c r="R78" s="7">
        <v>71.632999999999996</v>
      </c>
      <c r="S78" s="7">
        <v>10.136119620000001</v>
      </c>
    </row>
    <row r="79" spans="1:19" x14ac:dyDescent="0.3">
      <c r="A79" t="str">
        <v>Haiti</v>
      </c>
      <c r="B79">
        <v>0.55400000000000005</v>
      </c>
      <c r="C79">
        <v>0.60450804000000002</v>
      </c>
      <c r="E79">
        <v>0.92</v>
      </c>
      <c r="G79">
        <v>0.60450804000000002</v>
      </c>
      <c r="I79" s="1" t="str">
        <v>El Salvador</v>
      </c>
      <c r="J79" s="22">
        <v>0.67800000000000005</v>
      </c>
      <c r="K79" s="22">
        <v>0.39802377999999999</v>
      </c>
      <c r="L79" s="7">
        <v>6365500</v>
      </c>
      <c r="M79" s="7">
        <v>5773</v>
      </c>
      <c r="N79" s="7">
        <v>10594.84201</v>
      </c>
      <c r="O79" s="7">
        <v>0.39802377999999999</v>
      </c>
      <c r="P79" s="7">
        <v>0.67800000000000005</v>
      </c>
      <c r="Q79" s="7" t="str">
        <v/>
      </c>
      <c r="R79" s="7">
        <v>72.099000000000004</v>
      </c>
      <c r="S79" s="7">
        <v>7.3000001909999996</v>
      </c>
    </row>
    <row r="80" spans="1:19" x14ac:dyDescent="0.3">
      <c r="A80" t="str">
        <v>Honduras</v>
      </c>
      <c r="B80">
        <v>0.64500000000000002</v>
      </c>
      <c r="C80">
        <v>0.46826827999999998</v>
      </c>
      <c r="E80">
        <v>0.73299999999999998</v>
      </c>
      <c r="G80">
        <v>0.46826827999999998</v>
      </c>
      <c r="I80" s="1" t="str">
        <v>Equatorial Guinea</v>
      </c>
      <c r="J80" s="22">
        <v>0.67400000000000004</v>
      </c>
      <c r="K80" s="22">
        <v>0.38542363000000002</v>
      </c>
      <c r="L80" s="7">
        <v>1938430</v>
      </c>
      <c r="M80" s="7">
        <v>6543</v>
      </c>
      <c r="N80" s="7">
        <v>12762.46845</v>
      </c>
      <c r="O80" s="7">
        <v>0.38542363000000002</v>
      </c>
      <c r="P80" s="7">
        <v>0.67400000000000004</v>
      </c>
      <c r="Q80" s="7" t="str">
        <v/>
      </c>
      <c r="R80" s="7">
        <v>63.707000000000001</v>
      </c>
      <c r="S80" s="7">
        <v>8.2813270140000004</v>
      </c>
    </row>
    <row r="81" spans="1:19" x14ac:dyDescent="0.3">
      <c r="A81" t="str">
        <v>Hungary</v>
      </c>
      <c r="B81">
        <v>0.87</v>
      </c>
      <c r="C81">
        <v>0.30222823999999998</v>
      </c>
      <c r="E81">
        <v>0.52400000000000002</v>
      </c>
      <c r="G81">
        <v>0.30222823999999998</v>
      </c>
      <c r="I81" s="1" t="str">
        <v>Eritrea</v>
      </c>
      <c r="J81" s="22">
        <v>0.503</v>
      </c>
      <c r="K81" s="22" t="str">
        <v/>
      </c>
      <c r="L81" s="7">
        <v>3607000</v>
      </c>
      <c r="M81" s="7">
        <v>631</v>
      </c>
      <c r="N81" s="7">
        <v>2029.070062</v>
      </c>
      <c r="O81" s="7" t="str">
        <v/>
      </c>
      <c r="P81" s="7">
        <v>0.503</v>
      </c>
      <c r="Q81" s="7" t="str">
        <v/>
      </c>
      <c r="R81" s="7">
        <v>68.623999999999995</v>
      </c>
      <c r="S81" s="7">
        <v>5.0913644199999997</v>
      </c>
    </row>
    <row r="82" spans="1:19" x14ac:dyDescent="0.3">
      <c r="A82" t="str">
        <v>Iceland</v>
      </c>
      <c r="B82">
        <v>0.97199999999999998</v>
      </c>
      <c r="C82">
        <v>0.2656501</v>
      </c>
      <c r="E82">
        <v>0.84399999999999997</v>
      </c>
      <c r="G82">
        <v>0.2656501</v>
      </c>
      <c r="I82" s="1" t="str">
        <v>Estonia</v>
      </c>
      <c r="J82" s="22">
        <v>0.90500000000000003</v>
      </c>
      <c r="K82" s="22">
        <v>0.32252404000000001</v>
      </c>
      <c r="L82" s="7">
        <v>1344230</v>
      </c>
      <c r="M82" s="7">
        <v>33479</v>
      </c>
      <c r="N82" s="7">
        <v>40880.930439999996</v>
      </c>
      <c r="O82" s="7">
        <v>0.32252404000000001</v>
      </c>
      <c r="P82" s="7">
        <v>0.90500000000000003</v>
      </c>
      <c r="Q82" s="7" t="str">
        <v/>
      </c>
      <c r="R82" s="7">
        <v>79.153000000000006</v>
      </c>
      <c r="S82" s="7">
        <v>13.562165970000001</v>
      </c>
    </row>
    <row r="83" spans="1:19" x14ac:dyDescent="0.3">
      <c r="A83" t="str">
        <v>India</v>
      </c>
      <c r="B83">
        <v>0.68500000000000005</v>
      </c>
      <c r="C83">
        <v>0.25514996000000001</v>
      </c>
      <c r="E83">
        <v>0.95899999999999996</v>
      </c>
      <c r="G83">
        <v>0.25514996000000001</v>
      </c>
      <c r="I83" s="1" t="str">
        <v>Eswatini</v>
      </c>
      <c r="J83" s="22">
        <v>0.69499999999999995</v>
      </c>
      <c r="K83" s="22">
        <v>0.54579794000000004</v>
      </c>
      <c r="L83" s="7">
        <v>1256170</v>
      </c>
      <c r="M83" s="7">
        <v>4365</v>
      </c>
      <c r="N83" s="7">
        <v>9919.0852300000006</v>
      </c>
      <c r="O83" s="7">
        <v>0.54579794000000004</v>
      </c>
      <c r="P83" s="7">
        <v>0.69499999999999995</v>
      </c>
      <c r="Q83" s="7" t="str">
        <v/>
      </c>
      <c r="R83" s="7">
        <v>64.123000000000005</v>
      </c>
      <c r="S83" s="7">
        <v>8.6851997379999997</v>
      </c>
    </row>
    <row r="84" spans="1:19" x14ac:dyDescent="0.3">
      <c r="A84" t="str">
        <v>Indonesia</v>
      </c>
      <c r="B84">
        <v>0.72799999999999998</v>
      </c>
      <c r="C84">
        <v>0.34894395</v>
      </c>
      <c r="E84">
        <v>0.628</v>
      </c>
      <c r="G84">
        <v>0.34894395</v>
      </c>
      <c r="I84" s="1" t="str">
        <v>Ethiopia</v>
      </c>
      <c r="J84" s="22">
        <v>0.497</v>
      </c>
      <c r="K84" s="22">
        <v>0.31141794</v>
      </c>
      <c r="L84" s="7">
        <v>135472000</v>
      </c>
      <c r="M84" s="7">
        <v>867</v>
      </c>
      <c r="N84" s="7">
        <v>2795.5069840000001</v>
      </c>
      <c r="O84" s="7">
        <v>0.31141794</v>
      </c>
      <c r="P84" s="7">
        <v>0.497</v>
      </c>
      <c r="Q84" s="7" t="str">
        <v/>
      </c>
      <c r="R84" s="7">
        <v>67.314999999999998</v>
      </c>
      <c r="S84" s="7">
        <v>2.4025398130000002</v>
      </c>
    </row>
    <row r="85" spans="1:19" x14ac:dyDescent="0.3">
      <c r="A85" t="str">
        <v>Iran</v>
      </c>
      <c r="B85">
        <v>0.79900000000000004</v>
      </c>
      <c r="C85">
        <v>0.35884795000000003</v>
      </c>
      <c r="E85">
        <v>0.90800000000000003</v>
      </c>
      <c r="G85">
        <v>0.35884795000000003</v>
      </c>
      <c r="I85" s="1" t="str">
        <v>Falkland Islands</v>
      </c>
      <c r="J85" s="22" t="str">
        <v/>
      </c>
      <c r="K85" s="22" t="str">
        <v/>
      </c>
      <c r="L85" s="7" t="str">
        <v/>
      </c>
      <c r="M85" s="7" t="str">
        <v/>
      </c>
      <c r="N85" s="7" t="str">
        <v/>
      </c>
      <c r="O85" s="7" t="str">
        <v/>
      </c>
      <c r="P85" s="7" t="str">
        <v/>
      </c>
      <c r="Q85" s="7" t="str">
        <v/>
      </c>
      <c r="R85" s="7" t="str">
        <v/>
      </c>
      <c r="S85" s="7" t="str">
        <v/>
      </c>
    </row>
    <row r="86" spans="1:19" x14ac:dyDescent="0.3">
      <c r="A86" t="str">
        <v>Iraq</v>
      </c>
      <c r="B86">
        <v>0.69499999999999995</v>
      </c>
      <c r="C86">
        <v>0.29774040000000002</v>
      </c>
      <c r="E86">
        <v>0.79100000000000004</v>
      </c>
      <c r="G86">
        <v>0.29774040000000002</v>
      </c>
      <c r="I86" s="1" t="str">
        <v>Faroe Islands</v>
      </c>
      <c r="J86" s="22" t="str">
        <v/>
      </c>
      <c r="K86" s="22" t="str">
        <v/>
      </c>
      <c r="L86" s="7" t="str">
        <v/>
      </c>
      <c r="M86" s="7" t="str">
        <v/>
      </c>
      <c r="N86" s="7" t="str">
        <v/>
      </c>
      <c r="O86" s="7" t="str">
        <v/>
      </c>
      <c r="P86" s="7" t="str">
        <v/>
      </c>
      <c r="Q86" s="7" t="str">
        <v/>
      </c>
      <c r="R86" s="7" t="str">
        <v/>
      </c>
      <c r="S86" s="7" t="str">
        <v/>
      </c>
    </row>
    <row r="87" spans="1:19" x14ac:dyDescent="0.3">
      <c r="A87" t="str">
        <v>Ireland</v>
      </c>
      <c r="B87">
        <v>0.94899999999999995</v>
      </c>
      <c r="C87">
        <v>0.29912030000000001</v>
      </c>
      <c r="E87">
        <v>0.66200000000000003</v>
      </c>
      <c r="G87">
        <v>0.29912030000000001</v>
      </c>
      <c r="I87" s="1" t="str">
        <v>Fiji</v>
      </c>
      <c r="J87" s="22">
        <v>0.73099999999999998</v>
      </c>
      <c r="K87" s="22">
        <v>0.30706867999999998</v>
      </c>
      <c r="L87" s="7">
        <v>933154</v>
      </c>
      <c r="M87" s="7">
        <v>6705</v>
      </c>
      <c r="N87" s="7">
        <v>12843.158890000001</v>
      </c>
      <c r="O87" s="7">
        <v>0.30706867999999998</v>
      </c>
      <c r="P87" s="7">
        <v>0.73099999999999998</v>
      </c>
      <c r="Q87" s="7" t="str">
        <v/>
      </c>
      <c r="R87" s="7">
        <v>67.316000000000003</v>
      </c>
      <c r="S87" s="7">
        <v>10.37096977</v>
      </c>
    </row>
    <row r="88" spans="1:19" x14ac:dyDescent="0.3">
      <c r="A88" t="str">
        <v>Israel</v>
      </c>
      <c r="B88">
        <v>0.91900000000000004</v>
      </c>
      <c r="C88">
        <v>0.37893850000000001</v>
      </c>
      <c r="E88">
        <v>0.5</v>
      </c>
      <c r="G88">
        <v>0.37893850000000001</v>
      </c>
      <c r="I88" s="1" t="str">
        <v>Finland</v>
      </c>
      <c r="J88" s="22">
        <v>0.94799999999999995</v>
      </c>
      <c r="K88" s="22">
        <v>0.27925923000000002</v>
      </c>
      <c r="L88" s="7">
        <v>5623330</v>
      </c>
      <c r="M88" s="7">
        <v>54051</v>
      </c>
      <c r="N88" s="7">
        <v>57067.636930000001</v>
      </c>
      <c r="O88" s="7">
        <v>0.27925923000000002</v>
      </c>
      <c r="P88" s="7">
        <v>0.94799999999999995</v>
      </c>
      <c r="Q88" s="7" t="str">
        <v/>
      </c>
      <c r="R88" s="7">
        <v>81.91</v>
      </c>
      <c r="S88" s="7">
        <v>12.97962547</v>
      </c>
    </row>
    <row r="89" spans="1:19" x14ac:dyDescent="0.3">
      <c r="A89" t="str">
        <v>Italy</v>
      </c>
      <c r="B89">
        <v>0.91500000000000004</v>
      </c>
      <c r="C89">
        <v>0.33651528000000003</v>
      </c>
      <c r="E89">
        <v>0.51400000000000001</v>
      </c>
      <c r="G89">
        <v>0.33651528000000003</v>
      </c>
      <c r="I89" s="1" t="str">
        <v>France</v>
      </c>
      <c r="J89" s="22">
        <v>0.92</v>
      </c>
      <c r="K89" s="22">
        <v>0.31236910000000001</v>
      </c>
      <c r="L89" s="7">
        <v>66650800</v>
      </c>
      <c r="M89" s="7">
        <v>48181</v>
      </c>
      <c r="N89" s="7">
        <v>55060.160380000001</v>
      </c>
      <c r="O89" s="7">
        <v>0.31236910000000001</v>
      </c>
      <c r="P89" s="7">
        <v>0.92</v>
      </c>
      <c r="Q89" s="7" t="str">
        <v/>
      </c>
      <c r="R89" s="7">
        <v>83.325000000000003</v>
      </c>
      <c r="S89" s="7">
        <v>11.7656677</v>
      </c>
    </row>
    <row r="90" spans="1:19" x14ac:dyDescent="0.3">
      <c r="A90" t="str">
        <v>Ivory Coast</v>
      </c>
      <c r="B90">
        <v>0.58199999999999996</v>
      </c>
      <c r="C90">
        <v>0.35275363999999998</v>
      </c>
      <c r="E90">
        <v>0.77600000000000002</v>
      </c>
      <c r="G90">
        <v>0.35275363999999998</v>
      </c>
      <c r="I90" s="1" t="str">
        <v>French Guiana</v>
      </c>
      <c r="J90" s="22" t="str">
        <v/>
      </c>
      <c r="K90" s="22" t="str">
        <v/>
      </c>
      <c r="L90" s="7" t="str">
        <v/>
      </c>
      <c r="M90" s="7" t="str">
        <v/>
      </c>
      <c r="N90" s="7" t="str">
        <v/>
      </c>
      <c r="O90" s="7" t="str">
        <v/>
      </c>
      <c r="P90" s="7" t="str">
        <v/>
      </c>
      <c r="Q90" s="7" t="str">
        <v/>
      </c>
      <c r="R90" s="7" t="str">
        <v/>
      </c>
      <c r="S90" s="7" t="str">
        <v/>
      </c>
    </row>
    <row r="91" spans="1:19" x14ac:dyDescent="0.3">
      <c r="A91" t="str">
        <v>Jamaica</v>
      </c>
      <c r="B91">
        <v>0.72</v>
      </c>
      <c r="C91">
        <v>0.39874472999999999</v>
      </c>
      <c r="E91">
        <v>0.55400000000000005</v>
      </c>
      <c r="G91">
        <v>0.39874472999999999</v>
      </c>
      <c r="I91" s="1" t="str">
        <v>French Polynesia</v>
      </c>
      <c r="J91" s="22" t="str">
        <v/>
      </c>
      <c r="K91" s="22" t="str">
        <v/>
      </c>
      <c r="L91" s="7">
        <v>282465</v>
      </c>
      <c r="M91" s="7">
        <v>22651</v>
      </c>
      <c r="N91" s="7" t="str">
        <v/>
      </c>
      <c r="O91" s="7" t="str">
        <v/>
      </c>
      <c r="P91" s="7" t="str">
        <v/>
      </c>
      <c r="Q91" s="7" t="str">
        <v/>
      </c>
      <c r="R91" s="7" t="str">
        <v/>
      </c>
      <c r="S91" s="7" t="str">
        <v/>
      </c>
    </row>
    <row r="92" spans="1:19" x14ac:dyDescent="0.3">
      <c r="A92" t="str">
        <v>Japan</v>
      </c>
      <c r="B92">
        <v>0.92500000000000004</v>
      </c>
      <c r="C92">
        <v>0.32339275000000001</v>
      </c>
      <c r="E92">
        <v>0.64500000000000002</v>
      </c>
      <c r="G92">
        <v>0.32339275000000001</v>
      </c>
      <c r="I92" s="1" t="str">
        <v>Gabon</v>
      </c>
      <c r="J92" s="22">
        <v>0.73299999999999998</v>
      </c>
      <c r="K92" s="22">
        <v>0.38024372000000001</v>
      </c>
      <c r="L92" s="7">
        <v>2593130</v>
      </c>
      <c r="M92" s="7">
        <v>7863</v>
      </c>
      <c r="N92" s="7">
        <v>18854.06151</v>
      </c>
      <c r="O92" s="7">
        <v>0.38024372000000001</v>
      </c>
      <c r="P92" s="7">
        <v>0.73299999999999998</v>
      </c>
      <c r="Q92" s="7" t="str">
        <v/>
      </c>
      <c r="R92" s="7">
        <v>68.337000000000003</v>
      </c>
      <c r="S92" s="7">
        <v>9.6859999999999999</v>
      </c>
    </row>
    <row r="93" spans="1:19" x14ac:dyDescent="0.3">
      <c r="A93" t="str">
        <v>Jordan</v>
      </c>
      <c r="B93">
        <v>0.754</v>
      </c>
      <c r="C93">
        <v>0.3365573</v>
      </c>
      <c r="E93">
        <v>0.95499999999999996</v>
      </c>
      <c r="G93">
        <v>0.3365573</v>
      </c>
      <c r="I93" s="1" t="str">
        <v>Gambia</v>
      </c>
      <c r="J93" s="22">
        <v>0.52400000000000002</v>
      </c>
      <c r="K93" s="22">
        <v>0.38757205</v>
      </c>
      <c r="L93" s="7">
        <v>2822090</v>
      </c>
      <c r="M93" s="7">
        <v>982</v>
      </c>
      <c r="N93" s="7">
        <v>2812.0176019999999</v>
      </c>
      <c r="O93" s="7">
        <v>0.38757205</v>
      </c>
      <c r="P93" s="7">
        <v>0.52400000000000002</v>
      </c>
      <c r="Q93" s="7" t="str">
        <v/>
      </c>
      <c r="R93" s="7">
        <v>65.86</v>
      </c>
      <c r="S93" s="7">
        <v>4.6747271540000002</v>
      </c>
    </row>
    <row r="94" spans="1:19" x14ac:dyDescent="0.3">
      <c r="A94" t="str">
        <v>Kazakhstan</v>
      </c>
      <c r="B94">
        <v>0.83699999999999997</v>
      </c>
      <c r="C94">
        <v>0.29191532999999997</v>
      </c>
      <c r="E94">
        <v>0.87</v>
      </c>
      <c r="G94">
        <v>0.29191532999999997</v>
      </c>
      <c r="I94" s="1" t="str">
        <v>Georgia</v>
      </c>
      <c r="J94" s="22">
        <v>0.84399999999999997</v>
      </c>
      <c r="K94" s="22">
        <v>0.34756895999999998</v>
      </c>
      <c r="L94" s="7">
        <v>3806670</v>
      </c>
      <c r="M94" s="7">
        <v>9287</v>
      </c>
      <c r="N94" s="7">
        <v>20752.570090000001</v>
      </c>
      <c r="O94" s="7">
        <v>0.34756895999999998</v>
      </c>
      <c r="P94" s="7">
        <v>0.84399999999999997</v>
      </c>
      <c r="Q94" s="7" t="str">
        <v/>
      </c>
      <c r="R94" s="7">
        <v>74.495999999999995</v>
      </c>
      <c r="S94" s="7">
        <v>12.69999981</v>
      </c>
    </row>
    <row r="95" spans="1:19" x14ac:dyDescent="0.3">
      <c r="A95" t="str">
        <v>Kenya</v>
      </c>
      <c r="B95">
        <v>0.628</v>
      </c>
      <c r="C95">
        <v>0.38701963</v>
      </c>
      <c r="E95">
        <v>0.97199999999999998</v>
      </c>
      <c r="G95">
        <v>0.38701963</v>
      </c>
      <c r="I95" s="1" t="str">
        <v>Germany</v>
      </c>
      <c r="J95" s="22">
        <v>0.95899999999999996</v>
      </c>
      <c r="K95" s="22">
        <v>0.32433450000000003</v>
      </c>
      <c r="L95" s="7">
        <v>84075100</v>
      </c>
      <c r="M95" s="7">
        <v>56435</v>
      </c>
      <c r="N95" s="7">
        <v>64053.221239999999</v>
      </c>
      <c r="O95" s="7">
        <v>0.32433450000000003</v>
      </c>
      <c r="P95" s="7">
        <v>0.95899999999999996</v>
      </c>
      <c r="Q95" s="7" t="str">
        <v/>
      </c>
      <c r="R95" s="7">
        <v>81.378</v>
      </c>
      <c r="S95" s="7">
        <v>14.296371629999999</v>
      </c>
    </row>
    <row r="96" spans="1:19" x14ac:dyDescent="0.3">
      <c r="A96" t="str">
        <v>Kiribati</v>
      </c>
      <c r="B96">
        <v>0.64400000000000002</v>
      </c>
      <c r="C96">
        <v>0.27832701999999998</v>
      </c>
      <c r="E96">
        <v>0.68500000000000005</v>
      </c>
      <c r="G96">
        <v>0.27832701999999998</v>
      </c>
      <c r="I96" s="1" t="str">
        <v>Ghana</v>
      </c>
      <c r="J96" s="22">
        <v>0.628</v>
      </c>
      <c r="K96" s="22">
        <v>0.43508595</v>
      </c>
      <c r="L96" s="7">
        <v>35064300</v>
      </c>
      <c r="M96" s="7">
        <v>2519</v>
      </c>
      <c r="N96" s="7">
        <v>6846.3522039999998</v>
      </c>
      <c r="O96" s="7">
        <v>0.43508595</v>
      </c>
      <c r="P96" s="7">
        <v>0.628</v>
      </c>
      <c r="Q96" s="7" t="str">
        <v/>
      </c>
      <c r="R96" s="7">
        <v>65.498000000000005</v>
      </c>
      <c r="S96" s="7">
        <v>7.1072101590000001</v>
      </c>
    </row>
    <row r="97" spans="1:19" x14ac:dyDescent="0.3">
      <c r="A97" t="str">
        <v>Kyrgyzstan</v>
      </c>
      <c r="B97">
        <v>0.72</v>
      </c>
      <c r="C97">
        <v>0.26352527999999997</v>
      </c>
      <c r="E97">
        <v>0.72799999999999998</v>
      </c>
      <c r="G97">
        <v>0.26352527999999997</v>
      </c>
      <c r="I97" s="1" t="str">
        <v>Gibraltar</v>
      </c>
      <c r="J97" s="22" t="str">
        <v/>
      </c>
      <c r="K97" s="22" t="str">
        <v/>
      </c>
      <c r="L97" s="7" t="str">
        <v/>
      </c>
      <c r="M97" s="7" t="str">
        <v/>
      </c>
      <c r="N97" s="7" t="str">
        <v/>
      </c>
      <c r="O97" s="7" t="str">
        <v/>
      </c>
      <c r="P97" s="7" t="str">
        <v/>
      </c>
      <c r="Q97" s="7" t="str">
        <v/>
      </c>
      <c r="R97" s="7" t="str">
        <v/>
      </c>
      <c r="S97" s="7" t="str">
        <v/>
      </c>
    </row>
    <row r="98" spans="1:19" x14ac:dyDescent="0.3">
      <c r="A98" t="str">
        <v>Laos</v>
      </c>
      <c r="B98">
        <v>0.61699999999999999</v>
      </c>
      <c r="C98">
        <v>0.38802432999999997</v>
      </c>
      <c r="E98">
        <v>0.79900000000000004</v>
      </c>
      <c r="G98">
        <v>0.38802432999999997</v>
      </c>
      <c r="I98" s="1" t="str">
        <v>Greece</v>
      </c>
      <c r="J98" s="22">
        <v>0.90800000000000003</v>
      </c>
      <c r="K98" s="22">
        <v>0.33373599999999998</v>
      </c>
      <c r="L98" s="7">
        <v>9938840</v>
      </c>
      <c r="M98" s="7">
        <v>26899</v>
      </c>
      <c r="N98" s="7">
        <v>35760.749150000003</v>
      </c>
      <c r="O98" s="7">
        <v>0.33373599999999998</v>
      </c>
      <c r="P98" s="7">
        <v>0.90800000000000003</v>
      </c>
      <c r="Q98" s="7" t="str">
        <v/>
      </c>
      <c r="R98" s="7">
        <v>81.856999999999999</v>
      </c>
      <c r="S98" s="7">
        <v>11.553856420000001</v>
      </c>
    </row>
    <row r="99" spans="1:19" x14ac:dyDescent="0.3">
      <c r="A99" t="str">
        <v>Latvia</v>
      </c>
      <c r="B99">
        <v>0.88900000000000001</v>
      </c>
      <c r="C99">
        <v>0.33675845999999998</v>
      </c>
      <c r="E99">
        <v>0.69499999999999995</v>
      </c>
      <c r="G99">
        <v>0.33675845999999998</v>
      </c>
      <c r="I99" s="1" t="str">
        <v>Greenland</v>
      </c>
      <c r="J99" s="22" t="str">
        <v/>
      </c>
      <c r="K99" s="22" t="str">
        <v/>
      </c>
      <c r="L99" s="7">
        <v>55745</v>
      </c>
      <c r="M99" s="7">
        <v>54547</v>
      </c>
      <c r="N99" s="7" t="str">
        <v/>
      </c>
      <c r="O99" s="7" t="str">
        <v/>
      </c>
      <c r="P99" s="7" t="str">
        <v/>
      </c>
      <c r="Q99" s="7" t="str">
        <v/>
      </c>
      <c r="R99" s="7" t="str">
        <v/>
      </c>
      <c r="S99" s="7" t="str">
        <v/>
      </c>
    </row>
    <row r="100" spans="1:19" x14ac:dyDescent="0.3">
      <c r="A100" t="str">
        <v>Lebanon</v>
      </c>
      <c r="B100">
        <v>0.752</v>
      </c>
      <c r="C100">
        <v>0.35281137000000001</v>
      </c>
      <c r="E100">
        <v>0.94899999999999995</v>
      </c>
      <c r="G100">
        <v>0.35281137000000001</v>
      </c>
      <c r="I100" s="1" t="str">
        <v>Grenada</v>
      </c>
      <c r="J100" s="22">
        <v>0.79100000000000004</v>
      </c>
      <c r="K100" s="22">
        <v>0.4381641</v>
      </c>
      <c r="L100" s="7">
        <v>117303</v>
      </c>
      <c r="M100" s="7">
        <v>12480</v>
      </c>
      <c r="N100" s="7">
        <v>14349.028039999999</v>
      </c>
      <c r="O100" s="7">
        <v>0.4381641</v>
      </c>
      <c r="P100" s="7">
        <v>0.79100000000000004</v>
      </c>
      <c r="Q100" s="7" t="str">
        <v/>
      </c>
      <c r="R100" s="7">
        <v>75.204999999999998</v>
      </c>
      <c r="S100" s="7">
        <v>9.4463993070000001</v>
      </c>
    </row>
    <row r="101" spans="1:19" x14ac:dyDescent="0.3">
      <c r="A101" t="str">
        <v>Lesotho</v>
      </c>
      <c r="B101">
        <v>0.55000000000000004</v>
      </c>
      <c r="C101">
        <v>0.44877613</v>
      </c>
      <c r="E101">
        <v>0.91900000000000004</v>
      </c>
      <c r="G101">
        <v>0.44877613</v>
      </c>
      <c r="I101" s="1" t="str">
        <v>Guadeloupe</v>
      </c>
      <c r="J101" s="22" t="str">
        <v/>
      </c>
      <c r="K101" s="22" t="str">
        <v/>
      </c>
      <c r="L101" s="7" t="str">
        <v/>
      </c>
      <c r="M101" s="7" t="str">
        <v/>
      </c>
      <c r="N101" s="7" t="str">
        <v/>
      </c>
      <c r="O101" s="7" t="str">
        <v/>
      </c>
      <c r="P101" s="7" t="str">
        <v/>
      </c>
      <c r="Q101" s="7" t="str">
        <v/>
      </c>
      <c r="R101" s="7" t="str">
        <v/>
      </c>
      <c r="S101" s="7" t="str">
        <v/>
      </c>
    </row>
    <row r="102" spans="1:19" x14ac:dyDescent="0.3">
      <c r="A102" t="str">
        <v>Liberia</v>
      </c>
      <c r="B102">
        <v>0.51</v>
      </c>
      <c r="C102">
        <v>0.35265439999999998</v>
      </c>
      <c r="E102">
        <v>0.91500000000000004</v>
      </c>
      <c r="G102">
        <v>0.35265439999999998</v>
      </c>
      <c r="I102" s="1" t="str">
        <v>Guam</v>
      </c>
      <c r="J102" s="22" t="str">
        <v/>
      </c>
      <c r="K102" s="22" t="str">
        <v/>
      </c>
      <c r="L102" s="7" t="str">
        <v/>
      </c>
      <c r="M102" s="7" t="str">
        <v/>
      </c>
      <c r="N102" s="7" t="str">
        <v/>
      </c>
      <c r="O102" s="7" t="str">
        <v/>
      </c>
      <c r="P102" s="7" t="str">
        <v/>
      </c>
      <c r="Q102" s="7" t="str">
        <v/>
      </c>
      <c r="R102" s="7" t="str">
        <v/>
      </c>
      <c r="S102" s="7" t="str">
        <v/>
      </c>
    </row>
    <row r="103" spans="1:19" x14ac:dyDescent="0.3">
      <c r="A103" t="str">
        <v>Lithuania</v>
      </c>
      <c r="B103">
        <v>0.89500000000000002</v>
      </c>
      <c r="C103">
        <v>0.3656239</v>
      </c>
      <c r="E103">
        <v>0.58199999999999996</v>
      </c>
      <c r="G103">
        <v>0.3656239</v>
      </c>
      <c r="I103" s="1" t="str">
        <v>Guatemala</v>
      </c>
      <c r="J103" s="22">
        <v>0.66200000000000003</v>
      </c>
      <c r="K103" s="22">
        <v>0.45212682999999998</v>
      </c>
      <c r="L103" s="7">
        <v>18687900</v>
      </c>
      <c r="M103" s="7">
        <v>6484</v>
      </c>
      <c r="N103" s="7">
        <v>12458.603999999999</v>
      </c>
      <c r="O103" s="7">
        <v>0.45212682999999998</v>
      </c>
      <c r="P103" s="7">
        <v>0.66200000000000003</v>
      </c>
      <c r="Q103" s="7">
        <v>-32.700000000000003</v>
      </c>
      <c r="R103" s="7">
        <v>72.602000000000004</v>
      </c>
      <c r="S103" s="7">
        <v>5.8473000529999997</v>
      </c>
    </row>
    <row r="104" spans="1:19" x14ac:dyDescent="0.3">
      <c r="A104" t="str">
        <v>Luxembourg</v>
      </c>
      <c r="B104">
        <v>0.92200000000000004</v>
      </c>
      <c r="C104">
        <v>0.34093987999999997</v>
      </c>
      <c r="E104">
        <v>0.72</v>
      </c>
      <c r="G104">
        <v>0.34093987999999997</v>
      </c>
      <c r="I104" s="1" t="str">
        <v>Guernsey</v>
      </c>
      <c r="J104" s="22" t="str">
        <v/>
      </c>
      <c r="K104" s="22" t="str">
        <v/>
      </c>
      <c r="L104" s="7" t="str">
        <v/>
      </c>
      <c r="M104" s="7" t="str">
        <v/>
      </c>
      <c r="N104" s="7" t="str">
        <v/>
      </c>
      <c r="O104" s="7" t="str">
        <v/>
      </c>
      <c r="P104" s="7" t="str">
        <v/>
      </c>
      <c r="Q104" s="7" t="str">
        <v/>
      </c>
      <c r="R104" s="7" t="str">
        <v/>
      </c>
      <c r="S104" s="7" t="str">
        <v/>
      </c>
    </row>
    <row r="105" spans="1:19" x14ac:dyDescent="0.3">
      <c r="A105" t="str">
        <v>Madagascar</v>
      </c>
      <c r="B105">
        <v>0.48699999999999999</v>
      </c>
      <c r="C105">
        <v>0.42533894999999999</v>
      </c>
      <c r="E105">
        <v>0.92500000000000004</v>
      </c>
      <c r="G105">
        <v>0.42533894999999999</v>
      </c>
      <c r="I105" s="1" t="str">
        <v>Guinea</v>
      </c>
      <c r="J105" s="22">
        <v>0.5</v>
      </c>
      <c r="K105" s="22">
        <v>0.29591953999999998</v>
      </c>
      <c r="L105" s="7">
        <v>15099700</v>
      </c>
      <c r="M105" s="7">
        <v>1993</v>
      </c>
      <c r="N105" s="7">
        <v>3494.3477229999999</v>
      </c>
      <c r="O105" s="7">
        <v>0.29591953999999998</v>
      </c>
      <c r="P105" s="7">
        <v>0.5</v>
      </c>
      <c r="Q105" s="7" t="str">
        <v/>
      </c>
      <c r="R105" s="7">
        <v>60.74</v>
      </c>
      <c r="S105" s="7">
        <v>2.4863390249999999</v>
      </c>
    </row>
    <row r="106" spans="1:19" x14ac:dyDescent="0.3">
      <c r="A106" t="str">
        <v>Malawi</v>
      </c>
      <c r="B106">
        <v>0.51700000000000002</v>
      </c>
      <c r="C106">
        <v>0.38542736</v>
      </c>
      <c r="E106">
        <v>0.754</v>
      </c>
      <c r="G106">
        <v>0.38542736</v>
      </c>
      <c r="I106" s="1" t="str">
        <v>Guinea-Bissau</v>
      </c>
      <c r="J106" s="22">
        <v>0.51400000000000001</v>
      </c>
      <c r="K106" s="22">
        <v>0.33435068000000001</v>
      </c>
      <c r="L106" s="7">
        <v>2249520</v>
      </c>
      <c r="M106" s="7">
        <v>1011</v>
      </c>
      <c r="N106" s="7">
        <v>2403.0592369999999</v>
      </c>
      <c r="O106" s="7">
        <v>0.33435068000000001</v>
      </c>
      <c r="P106" s="7">
        <v>0.51400000000000001</v>
      </c>
      <c r="Q106" s="7" t="str">
        <v/>
      </c>
      <c r="R106" s="7">
        <v>64.084999999999994</v>
      </c>
      <c r="S106" s="7">
        <v>3.673035</v>
      </c>
    </row>
    <row r="107" spans="1:19" x14ac:dyDescent="0.3">
      <c r="A107" t="str">
        <v>Malaysia</v>
      </c>
      <c r="B107">
        <v>0.81899999999999995</v>
      </c>
      <c r="C107">
        <v>0.40668428000000001</v>
      </c>
      <c r="E107">
        <v>0.83699999999999997</v>
      </c>
      <c r="G107">
        <v>0.40668428000000001</v>
      </c>
      <c r="I107" s="1" t="str">
        <v>Guyana</v>
      </c>
      <c r="J107" s="22">
        <v>0.77600000000000002</v>
      </c>
      <c r="K107" s="22" t="str">
        <v/>
      </c>
      <c r="L107" s="7">
        <v>835986</v>
      </c>
      <c r="M107" s="7">
        <v>30888</v>
      </c>
      <c r="N107" s="7">
        <v>46959.251730000004</v>
      </c>
      <c r="O107" s="7" t="str">
        <v/>
      </c>
      <c r="P107" s="7">
        <v>0.77600000000000002</v>
      </c>
      <c r="Q107" s="7" t="str">
        <v/>
      </c>
      <c r="R107" s="7">
        <v>70.180000000000007</v>
      </c>
      <c r="S107" s="7">
        <v>8.7024296719999992</v>
      </c>
    </row>
    <row r="108" spans="1:19" x14ac:dyDescent="0.3">
      <c r="A108" t="str">
        <v>Maldives</v>
      </c>
      <c r="B108">
        <v>0.76600000000000001</v>
      </c>
      <c r="C108">
        <v>0.29285090000000003</v>
      </c>
      <c r="E108">
        <v>0.628</v>
      </c>
      <c r="G108">
        <v>0.29285090000000003</v>
      </c>
      <c r="I108" s="1" t="str">
        <v>Haiti</v>
      </c>
      <c r="J108" s="22">
        <v>0.55400000000000005</v>
      </c>
      <c r="K108" s="22">
        <v>0.60450804000000002</v>
      </c>
      <c r="L108" s="7">
        <v>11906100</v>
      </c>
      <c r="M108" s="7">
        <v>2818</v>
      </c>
      <c r="N108" s="7">
        <v>2934.9258020000002</v>
      </c>
      <c r="O108" s="7">
        <v>0.60450804000000002</v>
      </c>
      <c r="P108" s="7">
        <v>0.55400000000000005</v>
      </c>
      <c r="Q108" s="7" t="str">
        <v/>
      </c>
      <c r="R108" s="7">
        <v>64.936000000000007</v>
      </c>
      <c r="S108" s="7">
        <v>5.3822998999999996</v>
      </c>
    </row>
    <row r="109" spans="1:19" x14ac:dyDescent="0.3">
      <c r="A109" t="str">
        <v>Mali</v>
      </c>
      <c r="B109">
        <v>0.41899999999999998</v>
      </c>
      <c r="C109">
        <v>0.35653594</v>
      </c>
      <c r="E109">
        <v>0.64400000000000002</v>
      </c>
      <c r="G109">
        <v>0.35653594</v>
      </c>
      <c r="I109" s="1" t="str">
        <v>Honduras</v>
      </c>
      <c r="J109" s="22">
        <v>0.64500000000000002</v>
      </c>
      <c r="K109" s="22">
        <v>0.46826827999999998</v>
      </c>
      <c r="L109" s="7">
        <v>11005800</v>
      </c>
      <c r="M109" s="7">
        <v>3468</v>
      </c>
      <c r="N109" s="7">
        <v>6064.7857830000003</v>
      </c>
      <c r="O109" s="7">
        <v>0.46826827999999998</v>
      </c>
      <c r="P109" s="7">
        <v>0.64500000000000002</v>
      </c>
      <c r="Q109" s="7">
        <v>-29</v>
      </c>
      <c r="R109" s="7">
        <v>72.884</v>
      </c>
      <c r="S109" s="7">
        <v>7.5102290739999997</v>
      </c>
    </row>
    <row r="110" spans="1:19" x14ac:dyDescent="0.3">
      <c r="A110" t="str">
        <v>Malta</v>
      </c>
      <c r="B110">
        <v>0.92400000000000004</v>
      </c>
      <c r="C110">
        <v>0.34587276</v>
      </c>
      <c r="E110">
        <v>0.85199999999999998</v>
      </c>
      <c r="G110">
        <v>0.34587276</v>
      </c>
      <c r="I110" s="1" t="str">
        <v>Hong Kong</v>
      </c>
      <c r="J110" s="22">
        <v>0.95499999999999996</v>
      </c>
      <c r="K110" s="22" t="str">
        <v/>
      </c>
      <c r="L110" s="7">
        <v>7396080</v>
      </c>
      <c r="M110" s="7">
        <v>57328</v>
      </c>
      <c r="N110" s="7">
        <v>69435.757060000004</v>
      </c>
      <c r="O110" s="7" t="str">
        <v/>
      </c>
      <c r="P110" s="7">
        <v>0.95499999999999996</v>
      </c>
      <c r="Q110" s="7">
        <v>-47</v>
      </c>
      <c r="R110" s="7">
        <v>85.510999999999996</v>
      </c>
      <c r="S110" s="7">
        <v>12.350000380000001</v>
      </c>
    </row>
    <row r="111" spans="1:19" x14ac:dyDescent="0.3">
      <c r="A111" t="str">
        <v>Marshall Islands</v>
      </c>
      <c r="B111">
        <v>0.73299999999999998</v>
      </c>
      <c r="C111">
        <v>0.35482943</v>
      </c>
      <c r="E111">
        <v>0.72</v>
      </c>
      <c r="G111">
        <v>0.35482943</v>
      </c>
      <c r="I111" s="1" t="str">
        <v>Hungary</v>
      </c>
      <c r="J111" s="22">
        <v>0.87</v>
      </c>
      <c r="K111" s="22">
        <v>0.30222823999999998</v>
      </c>
      <c r="L111" s="7">
        <v>9632290</v>
      </c>
      <c r="M111" s="7">
        <v>24612</v>
      </c>
      <c r="N111" s="7">
        <v>37236.074619999999</v>
      </c>
      <c r="O111" s="7">
        <v>0.30222823999999998</v>
      </c>
      <c r="P111" s="7">
        <v>0.87</v>
      </c>
      <c r="Q111" s="7">
        <v>-25.7</v>
      </c>
      <c r="R111" s="7">
        <v>77.024000000000001</v>
      </c>
      <c r="S111" s="7">
        <v>12.33162229</v>
      </c>
    </row>
    <row r="112" spans="1:19" x14ac:dyDescent="0.3">
      <c r="A112" t="str">
        <v>Mauritania</v>
      </c>
      <c r="B112">
        <v>0.56299999999999994</v>
      </c>
      <c r="C112">
        <v>0.31996748000000003</v>
      </c>
      <c r="E112">
        <v>0.61699999999999999</v>
      </c>
      <c r="G112">
        <v>0.31996748000000003</v>
      </c>
      <c r="I112" s="1" t="str">
        <v>Iceland</v>
      </c>
      <c r="J112" s="22">
        <v>0.97199999999999998</v>
      </c>
      <c r="K112" s="22">
        <v>0.2656501</v>
      </c>
      <c r="L112" s="7">
        <v>398266</v>
      </c>
      <c r="M112" s="7">
        <v>88657</v>
      </c>
      <c r="N112" s="7">
        <v>69116.937359999996</v>
      </c>
      <c r="O112" s="7">
        <v>0.2656501</v>
      </c>
      <c r="P112" s="7">
        <v>0.97199999999999998</v>
      </c>
      <c r="Q112" s="7" t="str">
        <v/>
      </c>
      <c r="R112" s="7">
        <v>82.691000000000003</v>
      </c>
      <c r="S112" s="7">
        <v>13.908926279999999</v>
      </c>
    </row>
    <row r="113" spans="1:19" x14ac:dyDescent="0.3">
      <c r="A113" t="str">
        <v>Mauritius</v>
      </c>
      <c r="B113">
        <v>0.80600000000000005</v>
      </c>
      <c r="C113">
        <v>0.36761206000000002</v>
      </c>
      <c r="E113">
        <v>0.88900000000000001</v>
      </c>
      <c r="G113">
        <v>0.36761206000000002</v>
      </c>
      <c r="I113" s="1" t="str">
        <v>India</v>
      </c>
      <c r="J113" s="22">
        <v>0.68500000000000005</v>
      </c>
      <c r="K113" s="22">
        <v>0.25514996000000001</v>
      </c>
      <c r="L113" s="7">
        <v>1463870000</v>
      </c>
      <c r="M113" s="7">
        <v>2860</v>
      </c>
      <c r="N113" s="7">
        <v>9046.7563360000004</v>
      </c>
      <c r="O113" s="7">
        <v>0.25514996000000001</v>
      </c>
      <c r="P113" s="7">
        <v>0.68500000000000005</v>
      </c>
      <c r="Q113" s="7">
        <v>-56.2</v>
      </c>
      <c r="R113" s="7">
        <v>72.003</v>
      </c>
      <c r="S113" s="7">
        <v>6.8800001140000004</v>
      </c>
    </row>
    <row r="114" spans="1:19" x14ac:dyDescent="0.3">
      <c r="A114" t="str">
        <v>Mexico</v>
      </c>
      <c r="B114">
        <v>0.78900000000000003</v>
      </c>
      <c r="C114">
        <v>0.43454006000000001</v>
      </c>
      <c r="E114">
        <v>0.752</v>
      </c>
      <c r="G114">
        <v>0.43454006000000001</v>
      </c>
      <c r="I114" s="1" t="str">
        <v>Indonesia</v>
      </c>
      <c r="J114" s="22">
        <v>0.72799999999999998</v>
      </c>
      <c r="K114" s="22">
        <v>0.34894395</v>
      </c>
      <c r="L114" s="7">
        <v>285721000</v>
      </c>
      <c r="M114" s="7">
        <v>5004</v>
      </c>
      <c r="N114" s="7">
        <v>13700.12989</v>
      </c>
      <c r="O114" s="7">
        <v>0.34894395</v>
      </c>
      <c r="P114" s="7">
        <v>0.72799999999999998</v>
      </c>
      <c r="Q114" s="7">
        <v>-57</v>
      </c>
      <c r="R114" s="7">
        <v>71.146000000000001</v>
      </c>
      <c r="S114" s="7">
        <v>8.6972231999999998</v>
      </c>
    </row>
    <row r="115" spans="1:19" x14ac:dyDescent="0.3">
      <c r="A115" t="str">
        <v>Micronesia</v>
      </c>
      <c r="B115">
        <v>0.61499999999999999</v>
      </c>
      <c r="C115">
        <v>0.40052038000000001</v>
      </c>
      <c r="E115">
        <v>0.55000000000000004</v>
      </c>
      <c r="G115">
        <v>0.40052038000000001</v>
      </c>
      <c r="I115" s="1" t="str">
        <v>Iran</v>
      </c>
      <c r="J115" s="22">
        <v>0.79900000000000004</v>
      </c>
      <c r="K115" s="22">
        <v>0.35884795000000003</v>
      </c>
      <c r="L115" s="7">
        <v>92417700</v>
      </c>
      <c r="M115" s="7">
        <v>3690</v>
      </c>
      <c r="N115" s="7">
        <v>16095.77169</v>
      </c>
      <c r="O115" s="7">
        <v>0.35884795000000003</v>
      </c>
      <c r="P115" s="7">
        <v>0.79900000000000004</v>
      </c>
      <c r="Q115" s="7" t="str">
        <v/>
      </c>
      <c r="R115" s="7">
        <v>77.653999999999996</v>
      </c>
      <c r="S115" s="7">
        <v>10.84671198</v>
      </c>
    </row>
    <row r="116" spans="1:19" x14ac:dyDescent="0.3">
      <c r="A116" t="str">
        <v>Moldova</v>
      </c>
      <c r="B116">
        <v>0.78500000000000003</v>
      </c>
      <c r="C116">
        <v>0.25864446000000002</v>
      </c>
      <c r="E116">
        <v>0.51</v>
      </c>
      <c r="G116">
        <v>0.25864446000000002</v>
      </c>
      <c r="I116" s="1" t="str">
        <v>Iraq</v>
      </c>
      <c r="J116" s="22">
        <v>0.69499999999999995</v>
      </c>
      <c r="K116" s="22">
        <v>0.29774040000000002</v>
      </c>
      <c r="L116" s="7">
        <v>47020800</v>
      </c>
      <c r="M116" s="7">
        <v>5487</v>
      </c>
      <c r="N116" s="7">
        <v>12653.52469</v>
      </c>
      <c r="O116" s="7">
        <v>0.29774040000000002</v>
      </c>
      <c r="P116" s="7">
        <v>0.69499999999999995</v>
      </c>
      <c r="Q116" s="7" t="str">
        <v/>
      </c>
      <c r="R116" s="7">
        <v>72.323999999999998</v>
      </c>
      <c r="S116" s="7">
        <v>6.7800462870000002</v>
      </c>
    </row>
    <row r="117" spans="1:19" x14ac:dyDescent="0.3">
      <c r="A117" t="str">
        <v>Mongolia</v>
      </c>
      <c r="B117">
        <v>0.747</v>
      </c>
      <c r="C117">
        <v>0.31416475999999999</v>
      </c>
      <c r="E117">
        <v>0.72099999999999997</v>
      </c>
      <c r="G117">
        <v>0.31416475999999999</v>
      </c>
      <c r="I117" s="1" t="str">
        <v>Ireland</v>
      </c>
      <c r="J117" s="22">
        <v>0.94899999999999995</v>
      </c>
      <c r="K117" s="22">
        <v>0.29912030000000001</v>
      </c>
      <c r="L117" s="7">
        <v>5308040</v>
      </c>
      <c r="M117" s="7">
        <v>112818</v>
      </c>
      <c r="N117" s="7">
        <v>90884.634590000001</v>
      </c>
      <c r="O117" s="7">
        <v>0.29912030000000001</v>
      </c>
      <c r="P117" s="7">
        <v>0.94899999999999995</v>
      </c>
      <c r="Q117" s="7" t="str">
        <v/>
      </c>
      <c r="R117" s="7">
        <v>82.412000000000006</v>
      </c>
      <c r="S117" s="7">
        <v>11.724999560000001</v>
      </c>
    </row>
    <row r="118" spans="1:19" x14ac:dyDescent="0.3">
      <c r="A118" t="str">
        <v>Montenegro</v>
      </c>
      <c r="B118">
        <v>0.86199999999999999</v>
      </c>
      <c r="C118">
        <v>0.34296975000000002</v>
      </c>
      <c r="E118">
        <v>0.93799999999999994</v>
      </c>
      <c r="G118">
        <v>0.34296975000000002</v>
      </c>
      <c r="I118" s="1" t="str">
        <v>Isle of Man</v>
      </c>
      <c r="J118" s="22" t="str">
        <v/>
      </c>
      <c r="K118" s="22" t="str">
        <v/>
      </c>
      <c r="L118" s="7" t="str">
        <v/>
      </c>
      <c r="M118" s="7" t="str">
        <v/>
      </c>
      <c r="N118" s="7" t="str">
        <v/>
      </c>
      <c r="O118" s="7" t="str">
        <v/>
      </c>
      <c r="P118" s="7" t="str">
        <v/>
      </c>
      <c r="Q118" s="7" t="str">
        <v/>
      </c>
      <c r="R118" s="7" t="str">
        <v/>
      </c>
      <c r="S118" s="7" t="str">
        <v/>
      </c>
    </row>
    <row r="119" spans="1:19" x14ac:dyDescent="0.3">
      <c r="A119" t="str">
        <v>Morocco</v>
      </c>
      <c r="B119">
        <v>0.71</v>
      </c>
      <c r="C119">
        <v>0.39548506999999999</v>
      </c>
      <c r="E119">
        <v>0.89500000000000002</v>
      </c>
      <c r="G119">
        <v>0.39548506999999999</v>
      </c>
      <c r="I119" s="1" t="str">
        <v>Israel</v>
      </c>
      <c r="J119" s="22">
        <v>0.91900000000000004</v>
      </c>
      <c r="K119" s="22">
        <v>0.37893850000000001</v>
      </c>
      <c r="L119" s="7">
        <v>9517180</v>
      </c>
      <c r="M119" s="7">
        <v>61296</v>
      </c>
      <c r="N119" s="7">
        <v>48050.11176</v>
      </c>
      <c r="O119" s="7">
        <v>0.37893850000000001</v>
      </c>
      <c r="P119" s="7">
        <v>0.91900000000000004</v>
      </c>
      <c r="Q119" s="7">
        <v>-1.1000000000000001</v>
      </c>
      <c r="R119" s="7">
        <v>82.408000000000001</v>
      </c>
      <c r="S119" s="7">
        <v>13.534594739999999</v>
      </c>
    </row>
    <row r="120" spans="1:19" x14ac:dyDescent="0.3">
      <c r="A120" t="str">
        <v>Mozambique</v>
      </c>
      <c r="B120">
        <v>0.49299999999999999</v>
      </c>
      <c r="C120">
        <v>0.50263760000000002</v>
      </c>
      <c r="E120">
        <v>0.92200000000000004</v>
      </c>
      <c r="G120">
        <v>0.50263760000000002</v>
      </c>
      <c r="I120" s="1" t="str">
        <v>Italy</v>
      </c>
      <c r="J120" s="22">
        <v>0.91500000000000004</v>
      </c>
      <c r="K120" s="22">
        <v>0.33651528000000003</v>
      </c>
      <c r="L120" s="7">
        <v>59146300</v>
      </c>
      <c r="M120" s="7">
        <v>40964</v>
      </c>
      <c r="N120" s="7">
        <v>52388.88306</v>
      </c>
      <c r="O120" s="7">
        <v>0.33651528000000003</v>
      </c>
      <c r="P120" s="7">
        <v>0.91500000000000004</v>
      </c>
      <c r="Q120" s="7" t="str">
        <v/>
      </c>
      <c r="R120" s="7">
        <v>83.715999999999994</v>
      </c>
      <c r="S120" s="7">
        <v>10.828128270000001</v>
      </c>
    </row>
    <row r="121" spans="1:19" x14ac:dyDescent="0.3">
      <c r="A121" t="str">
        <v>Myanmar</v>
      </c>
      <c r="B121">
        <v>0.60899999999999999</v>
      </c>
      <c r="C121">
        <v>0.30696869999999998</v>
      </c>
      <c r="E121">
        <v>0.48699999999999999</v>
      </c>
      <c r="G121">
        <v>0.30696869999999998</v>
      </c>
      <c r="I121" s="1" t="str">
        <v>Ivory Coast</v>
      </c>
      <c r="J121" s="22">
        <v>0.58199999999999996</v>
      </c>
      <c r="K121" s="22">
        <v>0.35275363999999998</v>
      </c>
      <c r="L121" s="7">
        <v>32711500</v>
      </c>
      <c r="M121" s="7">
        <v>2888</v>
      </c>
      <c r="N121" s="7">
        <v>6735.4162649999998</v>
      </c>
      <c r="O121" s="7">
        <v>0.35275363999999998</v>
      </c>
      <c r="P121" s="7">
        <v>0.58199999999999996</v>
      </c>
      <c r="Q121" s="7" t="str">
        <v/>
      </c>
      <c r="R121" s="7">
        <v>61.944000000000003</v>
      </c>
      <c r="S121" s="7">
        <v>4.8699998859999996</v>
      </c>
    </row>
    <row r="122" spans="1:19" x14ac:dyDescent="0.3">
      <c r="A122" t="str">
        <v>Namibia</v>
      </c>
      <c r="B122">
        <v>0.66500000000000004</v>
      </c>
      <c r="C122">
        <v>0.59066609999999997</v>
      </c>
      <c r="E122">
        <v>0.51700000000000002</v>
      </c>
      <c r="G122">
        <v>0.59066609999999997</v>
      </c>
      <c r="I122" s="1" t="str">
        <v>Jamaica</v>
      </c>
      <c r="J122" s="22">
        <v>0.72</v>
      </c>
      <c r="K122" s="22">
        <v>0.39874472999999999</v>
      </c>
      <c r="L122" s="7">
        <v>2837080</v>
      </c>
      <c r="M122" s="7">
        <v>7547</v>
      </c>
      <c r="N122" s="7">
        <v>10056.98531</v>
      </c>
      <c r="O122" s="7">
        <v>0.39874472999999999</v>
      </c>
      <c r="P122" s="7">
        <v>0.72</v>
      </c>
      <c r="Q122" s="7" t="str">
        <v/>
      </c>
      <c r="R122" s="7">
        <v>71.478999999999999</v>
      </c>
      <c r="S122" s="7">
        <v>9.9599103929999995</v>
      </c>
    </row>
    <row r="123" spans="1:19" x14ac:dyDescent="0.3">
      <c r="A123" t="str">
        <v>Nauru</v>
      </c>
      <c r="B123">
        <v>0.70299999999999996</v>
      </c>
      <c r="C123">
        <v>0.32361580000000001</v>
      </c>
      <c r="E123">
        <v>0.81899999999999995</v>
      </c>
      <c r="G123">
        <v>0.32361580000000001</v>
      </c>
      <c r="I123" s="1" t="str">
        <v>Japan</v>
      </c>
      <c r="J123" s="22">
        <v>0.92500000000000004</v>
      </c>
      <c r="K123" s="22">
        <v>0.32339275000000001</v>
      </c>
      <c r="L123" s="7">
        <v>123103000</v>
      </c>
      <c r="M123" s="7">
        <v>34008</v>
      </c>
      <c r="N123" s="7">
        <v>47774.609729999996</v>
      </c>
      <c r="O123" s="7">
        <v>0.32339275000000001</v>
      </c>
      <c r="P123" s="7">
        <v>0.92500000000000004</v>
      </c>
      <c r="Q123" s="7">
        <v>-46.3</v>
      </c>
      <c r="R123" s="7">
        <v>84.712000000000003</v>
      </c>
      <c r="S123" s="7">
        <v>12.684046710000001</v>
      </c>
    </row>
    <row r="124" spans="1:19" x14ac:dyDescent="0.3">
      <c r="A124" t="str">
        <v>Nepal</v>
      </c>
      <c r="B124">
        <v>0.622</v>
      </c>
      <c r="C124">
        <v>0.30020264000000002</v>
      </c>
      <c r="E124">
        <v>0.76600000000000001</v>
      </c>
      <c r="G124">
        <v>0.30020264000000002</v>
      </c>
      <c r="I124" s="1" t="str">
        <v>Jersey</v>
      </c>
      <c r="J124" s="22" t="str">
        <v/>
      </c>
      <c r="K124" s="22" t="str">
        <v/>
      </c>
      <c r="L124" s="7" t="str">
        <v/>
      </c>
      <c r="M124" s="7" t="str">
        <v/>
      </c>
      <c r="N124" s="7" t="str">
        <v/>
      </c>
      <c r="O124" s="7" t="str">
        <v/>
      </c>
      <c r="P124" s="7" t="str">
        <v/>
      </c>
      <c r="Q124" s="7" t="str">
        <v/>
      </c>
      <c r="R124" s="7" t="str">
        <v/>
      </c>
      <c r="S124" s="7" t="str">
        <v/>
      </c>
    </row>
    <row r="125" spans="1:19" x14ac:dyDescent="0.3">
      <c r="A125" t="str">
        <v>Netherlands</v>
      </c>
      <c r="B125">
        <v>0.95499999999999996</v>
      </c>
      <c r="C125">
        <v>0.25743870000000002</v>
      </c>
      <c r="E125">
        <v>0.41899999999999998</v>
      </c>
      <c r="G125">
        <v>0.25743870000000002</v>
      </c>
      <c r="I125" s="1" t="str">
        <v>Jordan</v>
      </c>
      <c r="J125" s="22">
        <v>0.754</v>
      </c>
      <c r="K125" s="22">
        <v>0.3365573</v>
      </c>
      <c r="L125" s="7">
        <v>11520700</v>
      </c>
      <c r="M125" s="7">
        <v>4870</v>
      </c>
      <c r="N125" s="7">
        <v>9221.8723580000005</v>
      </c>
      <c r="O125" s="7">
        <v>0.3365573</v>
      </c>
      <c r="P125" s="7">
        <v>0.754</v>
      </c>
      <c r="Q125" s="7">
        <v>-41.3</v>
      </c>
      <c r="R125" s="7">
        <v>77.813999999999993</v>
      </c>
      <c r="S125" s="7">
        <v>10.239999770000001</v>
      </c>
    </row>
    <row r="126" spans="1:19" x14ac:dyDescent="0.3">
      <c r="A126" t="str">
        <v>Nicaragua</v>
      </c>
      <c r="B126">
        <v>0.70599999999999996</v>
      </c>
      <c r="C126">
        <v>0.46156292999999998</v>
      </c>
      <c r="E126">
        <v>0.92400000000000004</v>
      </c>
      <c r="G126">
        <v>0.46156292999999998</v>
      </c>
      <c r="I126" s="1" t="str">
        <v>Kazakhstan</v>
      </c>
      <c r="J126" s="22">
        <v>0.83699999999999997</v>
      </c>
      <c r="K126" s="22">
        <v>0.29191532999999997</v>
      </c>
      <c r="L126" s="7">
        <v>20843800</v>
      </c>
      <c r="M126" s="7">
        <v>14419</v>
      </c>
      <c r="N126" s="7">
        <v>30988.528439999998</v>
      </c>
      <c r="O126" s="7">
        <v>0.29191532999999997</v>
      </c>
      <c r="P126" s="7">
        <v>0.83699999999999997</v>
      </c>
      <c r="Q126" s="7" t="str">
        <v/>
      </c>
      <c r="R126" s="7">
        <v>74.402000000000001</v>
      </c>
      <c r="S126" s="7">
        <v>12.54717423</v>
      </c>
    </row>
    <row r="127" spans="1:19" x14ac:dyDescent="0.3">
      <c r="A127" t="str">
        <v>Niger</v>
      </c>
      <c r="B127">
        <v>0.41899999999999998</v>
      </c>
      <c r="C127">
        <v>0.32862564999999999</v>
      </c>
      <c r="E127">
        <v>0.73299999999999998</v>
      </c>
      <c r="G127">
        <v>0.32862564999999999</v>
      </c>
      <c r="I127" s="1" t="str">
        <v>Kenya</v>
      </c>
      <c r="J127" s="22">
        <v>0.628</v>
      </c>
      <c r="K127" s="22">
        <v>0.38701963</v>
      </c>
      <c r="L127" s="7">
        <v>57532500</v>
      </c>
      <c r="M127" s="7">
        <v>2289</v>
      </c>
      <c r="N127" s="7">
        <v>5608.2960659999999</v>
      </c>
      <c r="O127" s="7">
        <v>0.38701963</v>
      </c>
      <c r="P127" s="7">
        <v>0.628</v>
      </c>
      <c r="Q127" s="7" t="str">
        <v/>
      </c>
      <c r="R127" s="7">
        <v>63.646000000000001</v>
      </c>
      <c r="S127" s="7">
        <v>8.6247100830000001</v>
      </c>
    </row>
    <row r="128" spans="1:19" x14ac:dyDescent="0.3">
      <c r="A128" t="str">
        <v>Nigeria</v>
      </c>
      <c r="B128">
        <v>0.56000000000000005</v>
      </c>
      <c r="C128">
        <v>0.35127744</v>
      </c>
      <c r="E128">
        <v>0.56299999999999994</v>
      </c>
      <c r="G128">
        <v>0.35127744</v>
      </c>
      <c r="I128" s="1" t="str">
        <v>Kiribati</v>
      </c>
      <c r="J128" s="22">
        <v>0.64400000000000002</v>
      </c>
      <c r="K128" s="22">
        <v>0.27832701999999998</v>
      </c>
      <c r="L128" s="7">
        <v>136488</v>
      </c>
      <c r="M128" s="7">
        <v>2286</v>
      </c>
      <c r="N128" s="7">
        <v>4947.2804260000003</v>
      </c>
      <c r="O128" s="7">
        <v>0.27832701999999998</v>
      </c>
      <c r="P128" s="7">
        <v>0.64400000000000002</v>
      </c>
      <c r="Q128" s="7" t="str">
        <v/>
      </c>
      <c r="R128" s="7">
        <v>66.472999999999999</v>
      </c>
      <c r="S128" s="7">
        <v>9.1285815689999996</v>
      </c>
    </row>
    <row r="129" spans="1:19" x14ac:dyDescent="0.3">
      <c r="A129" t="str">
        <v>North Macedonia</v>
      </c>
      <c r="B129">
        <v>0.81499999999999995</v>
      </c>
      <c r="C129">
        <v>0.33505829999999998</v>
      </c>
      <c r="E129">
        <v>0.80600000000000005</v>
      </c>
      <c r="G129">
        <v>0.33505829999999998</v>
      </c>
      <c r="I129" s="1" t="str">
        <v>Kuwait</v>
      </c>
      <c r="J129" s="22">
        <v>0.85199999999999998</v>
      </c>
      <c r="K129" s="22" t="str">
        <v/>
      </c>
      <c r="L129" s="7">
        <v>5026080</v>
      </c>
      <c r="M129" s="7">
        <v>30461</v>
      </c>
      <c r="N129" s="7">
        <v>56612.046990000003</v>
      </c>
      <c r="O129" s="7" t="str">
        <v/>
      </c>
      <c r="P129" s="7">
        <v>0.85199999999999998</v>
      </c>
      <c r="Q129" s="7">
        <v>-23.8</v>
      </c>
      <c r="R129" s="7">
        <v>80.405000000000001</v>
      </c>
      <c r="S129" s="7">
        <v>7.5660071120000003</v>
      </c>
    </row>
    <row r="130" spans="1:19" x14ac:dyDescent="0.3">
      <c r="A130" t="str">
        <v>Norway</v>
      </c>
      <c r="B130">
        <v>0.97</v>
      </c>
      <c r="C130">
        <v>0.26946252999999998</v>
      </c>
      <c r="E130">
        <v>0.78900000000000003</v>
      </c>
      <c r="G130">
        <v>0.26946252999999998</v>
      </c>
      <c r="I130" s="1" t="str">
        <v>Kyrgyzstan</v>
      </c>
      <c r="J130" s="22">
        <v>0.72</v>
      </c>
      <c r="K130" s="22">
        <v>0.26352527999999997</v>
      </c>
      <c r="L130" s="7">
        <v>7295030</v>
      </c>
      <c r="M130" s="7">
        <v>2721</v>
      </c>
      <c r="N130" s="7">
        <v>6078.1175890000004</v>
      </c>
      <c r="O130" s="7">
        <v>0.26352527999999997</v>
      </c>
      <c r="P130" s="7">
        <v>0.72</v>
      </c>
      <c r="Q130" s="7" t="str">
        <v/>
      </c>
      <c r="R130" s="7">
        <v>71.677000000000007</v>
      </c>
      <c r="S130" s="7">
        <v>12.065888579999999</v>
      </c>
    </row>
    <row r="131" spans="1:19" x14ac:dyDescent="0.3">
      <c r="A131" t="str">
        <v>Pakistan</v>
      </c>
      <c r="B131">
        <v>0.54400000000000004</v>
      </c>
      <c r="C131">
        <v>0.29589265999999997</v>
      </c>
      <c r="E131">
        <v>0.61499999999999999</v>
      </c>
      <c r="G131">
        <v>0.29589265999999997</v>
      </c>
      <c r="I131" s="1" t="str">
        <v>Laos</v>
      </c>
      <c r="J131" s="22">
        <v>0.61699999999999999</v>
      </c>
      <c r="K131" s="22">
        <v>0.38802432999999997</v>
      </c>
      <c r="L131" s="7">
        <v>7873050</v>
      </c>
      <c r="M131" s="7">
        <v>2073</v>
      </c>
      <c r="N131" s="7">
        <v>8106.1532180000004</v>
      </c>
      <c r="O131" s="7">
        <v>0.38802432999999997</v>
      </c>
      <c r="P131" s="7">
        <v>0.61699999999999999</v>
      </c>
      <c r="Q131" s="7" t="str">
        <v/>
      </c>
      <c r="R131" s="7">
        <v>68.963999999999999</v>
      </c>
      <c r="S131" s="7">
        <v>6.0602461600000002</v>
      </c>
    </row>
    <row r="132" spans="1:19" x14ac:dyDescent="0.3">
      <c r="A132" t="str">
        <v>Palestine</v>
      </c>
      <c r="B132">
        <v>0.67400000000000004</v>
      </c>
      <c r="C132">
        <v>0.36381876000000002</v>
      </c>
      <c r="E132">
        <v>0.78500000000000003</v>
      </c>
      <c r="G132">
        <v>0.36381876000000002</v>
      </c>
      <c r="I132" s="1" t="str">
        <v>Latvia</v>
      </c>
      <c r="J132" s="22">
        <v>0.88900000000000001</v>
      </c>
      <c r="K132" s="22">
        <v>0.33675845999999998</v>
      </c>
      <c r="L132" s="7">
        <v>1853560</v>
      </c>
      <c r="M132" s="7">
        <v>24566</v>
      </c>
      <c r="N132" s="7">
        <v>37997.822330000003</v>
      </c>
      <c r="O132" s="7">
        <v>0.33675845999999998</v>
      </c>
      <c r="P132" s="7">
        <v>0.88900000000000001</v>
      </c>
      <c r="Q132" s="7" t="str">
        <v/>
      </c>
      <c r="R132" s="7">
        <v>76.19</v>
      </c>
      <c r="S132" s="7">
        <v>13.40943983</v>
      </c>
    </row>
    <row r="133" spans="1:19" x14ac:dyDescent="0.3">
      <c r="A133" t="str">
        <v>Panama</v>
      </c>
      <c r="B133">
        <v>0.83899999999999997</v>
      </c>
      <c r="C133">
        <v>0.48875666000000001</v>
      </c>
      <c r="E133">
        <v>0.747</v>
      </c>
      <c r="G133">
        <v>0.48875666000000001</v>
      </c>
      <c r="I133" s="1" t="str">
        <v>Lebanon</v>
      </c>
      <c r="J133" s="22">
        <v>0.752</v>
      </c>
      <c r="K133" s="22">
        <v>0.35281137000000001</v>
      </c>
      <c r="L133" s="7">
        <v>5849420</v>
      </c>
      <c r="M133" s="7">
        <v>4695</v>
      </c>
      <c r="N133" s="7">
        <v>11298.88724</v>
      </c>
      <c r="O133" s="7">
        <v>0.35281137000000001</v>
      </c>
      <c r="P133" s="7">
        <v>0.752</v>
      </c>
      <c r="Q133" s="7">
        <v>-10.8</v>
      </c>
      <c r="R133" s="7">
        <v>77.816999999999993</v>
      </c>
      <c r="S133" s="7">
        <v>10.369999890000001</v>
      </c>
    </row>
    <row r="134" spans="1:19" x14ac:dyDescent="0.3">
      <c r="A134" t="str">
        <v>Paraguay</v>
      </c>
      <c r="B134">
        <v>0.75600000000000001</v>
      </c>
      <c r="C134">
        <v>0.44382226000000002</v>
      </c>
      <c r="E134">
        <v>0.86199999999999999</v>
      </c>
      <c r="G134">
        <v>0.44382226000000002</v>
      </c>
      <c r="I134" s="1" t="str">
        <v>Lesotho</v>
      </c>
      <c r="J134" s="22">
        <v>0.55000000000000004</v>
      </c>
      <c r="K134" s="22">
        <v>0.44877613</v>
      </c>
      <c r="L134" s="7">
        <v>2363320</v>
      </c>
      <c r="M134" s="7">
        <v>1017</v>
      </c>
      <c r="N134" s="7">
        <v>3029.3856999999998</v>
      </c>
      <c r="O134" s="7">
        <v>0.44877613</v>
      </c>
      <c r="P134" s="7">
        <v>0.55000000000000004</v>
      </c>
      <c r="Q134" s="7" t="str">
        <v/>
      </c>
      <c r="R134" s="7">
        <v>57.375</v>
      </c>
      <c r="S134" s="7">
        <v>7.7298834860000003</v>
      </c>
    </row>
    <row r="135" spans="1:19" x14ac:dyDescent="0.3">
      <c r="A135" t="str">
        <v>Peru</v>
      </c>
      <c r="B135">
        <v>0.79400000000000004</v>
      </c>
      <c r="C135">
        <v>0.40657840000000001</v>
      </c>
      <c r="E135">
        <v>0.71</v>
      </c>
      <c r="G135">
        <v>0.40657840000000001</v>
      </c>
      <c r="I135" s="1" t="str">
        <v>Liberia</v>
      </c>
      <c r="J135" s="22">
        <v>0.51</v>
      </c>
      <c r="K135" s="22">
        <v>0.35265439999999998</v>
      </c>
      <c r="L135" s="7">
        <v>5731210</v>
      </c>
      <c r="M135" s="7">
        <v>901</v>
      </c>
      <c r="N135" s="7">
        <v>1537.8593900000001</v>
      </c>
      <c r="O135" s="7">
        <v>0.35265439999999998</v>
      </c>
      <c r="P135" s="7">
        <v>0.51</v>
      </c>
      <c r="Q135" s="7" t="str">
        <v/>
      </c>
      <c r="R135" s="7">
        <v>62.162999999999997</v>
      </c>
      <c r="S135" s="7">
        <v>6.1698919549999998</v>
      </c>
    </row>
    <row r="136" spans="1:19" x14ac:dyDescent="0.3">
      <c r="A136" t="str">
        <v>Philippines</v>
      </c>
      <c r="B136">
        <v>0.72</v>
      </c>
      <c r="C136">
        <v>0.35203487</v>
      </c>
      <c r="E136">
        <v>0.49299999999999999</v>
      </c>
      <c r="G136">
        <v>0.35203487</v>
      </c>
      <c r="I136" s="1" t="str">
        <v>Libya</v>
      </c>
      <c r="J136" s="22">
        <v>0.72099999999999997</v>
      </c>
      <c r="K136" s="22" t="str">
        <v/>
      </c>
      <c r="L136" s="7">
        <v>7458560</v>
      </c>
      <c r="M136" s="7">
        <v>6366</v>
      </c>
      <c r="N136" s="7">
        <v>19831.432359999999</v>
      </c>
      <c r="O136" s="7" t="str">
        <v/>
      </c>
      <c r="P136" s="7">
        <v>0.72099999999999997</v>
      </c>
      <c r="Q136" s="7" t="str">
        <v/>
      </c>
      <c r="R136" s="7">
        <v>69.338999999999999</v>
      </c>
      <c r="S136" s="7">
        <v>7.77860643</v>
      </c>
    </row>
    <row r="137" spans="1:19" x14ac:dyDescent="0.3">
      <c r="A137" t="str">
        <v>Poland</v>
      </c>
      <c r="B137">
        <v>0.90600000000000003</v>
      </c>
      <c r="C137">
        <v>0.28858184999999997</v>
      </c>
      <c r="E137">
        <v>0.60899999999999999</v>
      </c>
      <c r="G137">
        <v>0.28858184999999997</v>
      </c>
      <c r="I137" s="1" t="str">
        <v>Liechtenstein</v>
      </c>
      <c r="J137" s="22">
        <v>0.93799999999999994</v>
      </c>
      <c r="K137" s="22" t="str">
        <v/>
      </c>
      <c r="L137" s="7">
        <v>40128</v>
      </c>
      <c r="M137" s="7">
        <v>198494</v>
      </c>
      <c r="N137" s="7">
        <v>166811.6741</v>
      </c>
      <c r="O137" s="7" t="str">
        <v/>
      </c>
      <c r="P137" s="7">
        <v>0.93799999999999994</v>
      </c>
      <c r="Q137" s="7" t="str">
        <v/>
      </c>
      <c r="R137" s="7">
        <v>83.63</v>
      </c>
      <c r="S137" s="7">
        <v>12.40995938</v>
      </c>
    </row>
    <row r="138" spans="1:19" x14ac:dyDescent="0.3">
      <c r="A138" t="str">
        <v>Portugal</v>
      </c>
      <c r="B138">
        <v>0.89</v>
      </c>
      <c r="C138">
        <v>0.36252203999999999</v>
      </c>
      <c r="E138">
        <v>0.66500000000000004</v>
      </c>
      <c r="G138">
        <v>0.36252203999999999</v>
      </c>
      <c r="I138" s="1" t="str">
        <v>Lithuania</v>
      </c>
      <c r="J138" s="22">
        <v>0.89500000000000002</v>
      </c>
      <c r="K138" s="22">
        <v>0.3656239</v>
      </c>
      <c r="L138" s="7">
        <v>2830140</v>
      </c>
      <c r="M138" s="7">
        <v>31515</v>
      </c>
      <c r="N138" s="7">
        <v>41916.465790000002</v>
      </c>
      <c r="O138" s="7">
        <v>0.3656239</v>
      </c>
      <c r="P138" s="7">
        <v>0.89500000000000002</v>
      </c>
      <c r="Q138" s="7" t="str">
        <v/>
      </c>
      <c r="R138" s="7">
        <v>76.025000000000006</v>
      </c>
      <c r="S138" s="7">
        <v>13.610692390000001</v>
      </c>
    </row>
    <row r="139" spans="1:19" x14ac:dyDescent="0.3">
      <c r="A139" t="str">
        <v>Qatar</v>
      </c>
      <c r="B139">
        <v>0.88600000000000001</v>
      </c>
      <c r="C139">
        <v>0.35128385000000001</v>
      </c>
      <c r="E139">
        <v>0.70299999999999996</v>
      </c>
      <c r="G139">
        <v>0.35128385000000001</v>
      </c>
      <c r="I139" s="1" t="str">
        <v>Luxembourg</v>
      </c>
      <c r="J139" s="22">
        <v>0.92200000000000004</v>
      </c>
      <c r="K139" s="22">
        <v>0.34093987999999997</v>
      </c>
      <c r="L139" s="7">
        <v>680453</v>
      </c>
      <c r="M139" s="7">
        <v>141983</v>
      </c>
      <c r="N139" s="7">
        <v>85461.248330000002</v>
      </c>
      <c r="O139" s="7">
        <v>0.34093987999999997</v>
      </c>
      <c r="P139" s="7">
        <v>0.92200000000000004</v>
      </c>
      <c r="Q139" s="7" t="str">
        <v/>
      </c>
      <c r="R139" s="7">
        <v>82.228999999999999</v>
      </c>
      <c r="S139" s="7">
        <v>12.58937195</v>
      </c>
    </row>
    <row r="140" spans="1:19" x14ac:dyDescent="0.3">
      <c r="A140" t="str">
        <v>Republic of the Congo</v>
      </c>
      <c r="B140">
        <v>0.64900000000000002</v>
      </c>
      <c r="C140">
        <v>0.48937692999999999</v>
      </c>
      <c r="E140">
        <v>0.622</v>
      </c>
      <c r="G140">
        <v>0.48937692999999999</v>
      </c>
      <c r="I140" s="1" t="str">
        <v>Macau</v>
      </c>
      <c r="J140" s="22" t="str">
        <v/>
      </c>
      <c r="K140" s="22" t="str">
        <v/>
      </c>
      <c r="L140" s="7">
        <v>722007</v>
      </c>
      <c r="M140" s="7">
        <v>73897</v>
      </c>
      <c r="N140" s="7" t="str">
        <v/>
      </c>
      <c r="O140" s="7" t="str">
        <v/>
      </c>
      <c r="P140" s="7" t="str">
        <v/>
      </c>
      <c r="Q140" s="7" t="str">
        <v/>
      </c>
      <c r="R140" s="7" t="str">
        <v/>
      </c>
      <c r="S140" s="7" t="str">
        <v/>
      </c>
    </row>
    <row r="141" spans="1:19" x14ac:dyDescent="0.3">
      <c r="A141" t="str">
        <v>Romania</v>
      </c>
      <c r="B141">
        <v>0.84499999999999997</v>
      </c>
      <c r="C141">
        <v>0.32303035000000002</v>
      </c>
      <c r="E141">
        <v>0.95499999999999996</v>
      </c>
      <c r="G141">
        <v>0.32303035000000002</v>
      </c>
      <c r="I141" s="1" t="str">
        <v>Madagascar</v>
      </c>
      <c r="J141" s="22">
        <v>0.48699999999999999</v>
      </c>
      <c r="K141" s="22">
        <v>0.42533894999999999</v>
      </c>
      <c r="L141" s="7">
        <v>32740700</v>
      </c>
      <c r="M141" s="7">
        <v>571</v>
      </c>
      <c r="N141" s="7">
        <v>1655.7646830000001</v>
      </c>
      <c r="O141" s="7">
        <v>0.42533894999999999</v>
      </c>
      <c r="P141" s="7">
        <v>0.48699999999999999</v>
      </c>
      <c r="Q141" s="7" t="str">
        <v/>
      </c>
      <c r="R141" s="7">
        <v>63.631999999999998</v>
      </c>
      <c r="S141" s="7">
        <v>4.5925202369999996</v>
      </c>
    </row>
    <row r="142" spans="1:19" x14ac:dyDescent="0.3">
      <c r="A142" t="str">
        <v>Russia</v>
      </c>
      <c r="B142">
        <v>0.83199999999999996</v>
      </c>
      <c r="C142">
        <v>0.36068243</v>
      </c>
      <c r="E142">
        <v>0.93799999999999994</v>
      </c>
      <c r="G142">
        <v>0.36068243</v>
      </c>
      <c r="I142" s="1" t="str">
        <v>Malawi</v>
      </c>
      <c r="J142" s="22">
        <v>0.51700000000000002</v>
      </c>
      <c r="K142" s="22">
        <v>0.38542736</v>
      </c>
      <c r="L142" s="7">
        <v>22216100</v>
      </c>
      <c r="M142" s="7">
        <v>628</v>
      </c>
      <c r="N142" s="7">
        <v>1633.6926149999999</v>
      </c>
      <c r="O142" s="7">
        <v>0.38542736</v>
      </c>
      <c r="P142" s="7">
        <v>0.51700000000000002</v>
      </c>
      <c r="Q142" s="7" t="str">
        <v/>
      </c>
      <c r="R142" s="7">
        <v>67.352999999999994</v>
      </c>
      <c r="S142" s="7">
        <v>5.2437400820000004</v>
      </c>
    </row>
    <row r="143" spans="1:19" x14ac:dyDescent="0.3">
      <c r="A143" t="str">
        <v>Rwanda</v>
      </c>
      <c r="B143">
        <v>0.57799999999999996</v>
      </c>
      <c r="C143">
        <v>0.43709510000000001</v>
      </c>
      <c r="E143">
        <v>0.70599999999999996</v>
      </c>
      <c r="G143">
        <v>0.43709510000000001</v>
      </c>
      <c r="I143" s="1" t="str">
        <v>Malaysia</v>
      </c>
      <c r="J143" s="22">
        <v>0.81899999999999995</v>
      </c>
      <c r="K143" s="22">
        <v>0.40668428000000001</v>
      </c>
      <c r="L143" s="7">
        <v>35977800</v>
      </c>
      <c r="M143" s="7">
        <v>12368</v>
      </c>
      <c r="N143" s="7">
        <v>32553.091079999998</v>
      </c>
      <c r="O143" s="7">
        <v>0.40668428000000001</v>
      </c>
      <c r="P143" s="7">
        <v>0.81899999999999995</v>
      </c>
      <c r="Q143" s="7">
        <v>-46.9</v>
      </c>
      <c r="R143" s="7">
        <v>76.656999999999996</v>
      </c>
      <c r="S143" s="7">
        <v>11.09000015</v>
      </c>
    </row>
    <row r="144" spans="1:19" x14ac:dyDescent="0.3">
      <c r="A144" t="str">
        <v>Saint Lucia</v>
      </c>
      <c r="B144">
        <v>0.748</v>
      </c>
      <c r="C144">
        <v>0.51225065999999997</v>
      </c>
      <c r="E144">
        <v>0.41899999999999998</v>
      </c>
      <c r="G144">
        <v>0.51225065999999997</v>
      </c>
      <c r="I144" s="1" t="str">
        <v>Maldives</v>
      </c>
      <c r="J144" s="22">
        <v>0.76600000000000001</v>
      </c>
      <c r="K144" s="22">
        <v>0.29285090000000003</v>
      </c>
      <c r="L144" s="7">
        <v>529676</v>
      </c>
      <c r="M144" s="7">
        <v>14122</v>
      </c>
      <c r="N144" s="7">
        <v>19317.31882</v>
      </c>
      <c r="O144" s="7">
        <v>0.29285090000000003</v>
      </c>
      <c r="P144" s="7">
        <v>0.76600000000000001</v>
      </c>
      <c r="Q144" s="7" t="str">
        <v/>
      </c>
      <c r="R144" s="7">
        <v>81.040999999999997</v>
      </c>
      <c r="S144" s="7">
        <v>7.4103728660000003</v>
      </c>
    </row>
    <row r="145" spans="1:19" x14ac:dyDescent="0.3">
      <c r="A145" t="str">
        <v>Samoa</v>
      </c>
      <c r="B145">
        <v>0.70799999999999996</v>
      </c>
      <c r="C145">
        <v>0.38743453999999999</v>
      </c>
      <c r="E145">
        <v>0.56000000000000005</v>
      </c>
      <c r="G145">
        <v>0.38743453999999999</v>
      </c>
      <c r="I145" s="1" t="str">
        <v>Mali</v>
      </c>
      <c r="J145" s="22">
        <v>0.41899999999999998</v>
      </c>
      <c r="K145" s="22">
        <v>0.35653594</v>
      </c>
      <c r="L145" s="7">
        <v>25198800</v>
      </c>
      <c r="M145" s="7">
        <v>921</v>
      </c>
      <c r="N145" s="7">
        <v>2341.5881180000001</v>
      </c>
      <c r="O145" s="7">
        <v>0.35653594</v>
      </c>
      <c r="P145" s="7">
        <v>0.41899999999999998</v>
      </c>
      <c r="Q145" s="7" t="str">
        <v/>
      </c>
      <c r="R145" s="7">
        <v>60.439</v>
      </c>
      <c r="S145" s="7">
        <v>1.6299999949999999</v>
      </c>
    </row>
    <row r="146" spans="1:19" x14ac:dyDescent="0.3">
      <c r="A146" t="str">
        <v>Sao Tome and Principe</v>
      </c>
      <c r="B146">
        <v>0.63700000000000001</v>
      </c>
      <c r="C146">
        <v>0.40729480000000001</v>
      </c>
      <c r="E146">
        <v>0.81499999999999995</v>
      </c>
      <c r="G146">
        <v>0.40729480000000001</v>
      </c>
      <c r="I146" s="1" t="str">
        <v>Malta</v>
      </c>
      <c r="J146" s="22">
        <v>0.92400000000000004</v>
      </c>
      <c r="K146" s="22">
        <v>0.34587276</v>
      </c>
      <c r="L146" s="7">
        <v>545405</v>
      </c>
      <c r="M146" s="7">
        <v>47213</v>
      </c>
      <c r="N146" s="7">
        <v>52155.074869999997</v>
      </c>
      <c r="O146" s="7">
        <v>0.34587276</v>
      </c>
      <c r="P146" s="7">
        <v>0.92400000000000004</v>
      </c>
      <c r="Q146" s="7" t="str">
        <v/>
      </c>
      <c r="R146" s="7">
        <v>83.299000000000007</v>
      </c>
      <c r="S146" s="7">
        <v>12.4207021</v>
      </c>
    </row>
    <row r="147" spans="1:19" x14ac:dyDescent="0.3">
      <c r="A147" t="str">
        <v>Senegal</v>
      </c>
      <c r="B147">
        <v>0.53</v>
      </c>
      <c r="C147">
        <v>0.36157719999999999</v>
      </c>
      <c r="E147">
        <v>0.97</v>
      </c>
      <c r="G147">
        <v>0.36157719999999999</v>
      </c>
      <c r="I147" s="1" t="str">
        <v>Marshall Islands</v>
      </c>
      <c r="J147" s="22">
        <v>0.73299999999999998</v>
      </c>
      <c r="K147" s="22">
        <v>0.35482943</v>
      </c>
      <c r="L147" s="7">
        <v>36282</v>
      </c>
      <c r="M147" s="7">
        <v>8186</v>
      </c>
      <c r="N147" s="7">
        <v>7223.860831</v>
      </c>
      <c r="O147" s="7">
        <v>0.35482943</v>
      </c>
      <c r="P147" s="7">
        <v>0.73299999999999998</v>
      </c>
      <c r="Q147" s="7" t="str">
        <v/>
      </c>
      <c r="R147" s="7">
        <v>66.944999999999993</v>
      </c>
      <c r="S147" s="7">
        <v>11.636664400000001</v>
      </c>
    </row>
    <row r="148" spans="1:19" x14ac:dyDescent="0.3">
      <c r="A148" t="str">
        <v>Serbia</v>
      </c>
      <c r="B148">
        <v>0.83299999999999996</v>
      </c>
      <c r="C148">
        <v>0.32802890000000001</v>
      </c>
      <c r="E148">
        <v>0.85799999999999998</v>
      </c>
      <c r="G148">
        <v>0.32802890000000001</v>
      </c>
      <c r="I148" s="1" t="str">
        <v>Martinique</v>
      </c>
      <c r="J148" s="22" t="str">
        <v/>
      </c>
      <c r="K148" s="22" t="str">
        <v/>
      </c>
      <c r="L148" s="7" t="str">
        <v/>
      </c>
      <c r="M148" s="7" t="str">
        <v/>
      </c>
      <c r="N148" s="7" t="str">
        <v/>
      </c>
      <c r="O148" s="7" t="str">
        <v/>
      </c>
      <c r="P148" s="7" t="str">
        <v/>
      </c>
      <c r="Q148" s="7" t="str">
        <v/>
      </c>
      <c r="R148" s="7" t="str">
        <v/>
      </c>
      <c r="S148" s="7" t="str">
        <v/>
      </c>
    </row>
    <row r="149" spans="1:19" x14ac:dyDescent="0.3">
      <c r="A149" t="str">
        <v>Seychelles</v>
      </c>
      <c r="B149">
        <v>0.84799999999999998</v>
      </c>
      <c r="C149">
        <v>0.32125320000000002</v>
      </c>
      <c r="E149">
        <v>0.54400000000000004</v>
      </c>
      <c r="G149">
        <v>0.32125320000000002</v>
      </c>
      <c r="I149" s="1" t="str">
        <v>Mauritania</v>
      </c>
      <c r="J149" s="22">
        <v>0.56299999999999994</v>
      </c>
      <c r="K149" s="22">
        <v>0.31996748000000003</v>
      </c>
      <c r="L149" s="7">
        <v>5315060</v>
      </c>
      <c r="M149" s="7">
        <v>2158</v>
      </c>
      <c r="N149" s="7">
        <v>6267.470808</v>
      </c>
      <c r="O149" s="7">
        <v>0.31996748000000003</v>
      </c>
      <c r="P149" s="7">
        <v>0.56299999999999994</v>
      </c>
      <c r="Q149" s="7" t="str">
        <v/>
      </c>
      <c r="R149" s="7">
        <v>68.483999999999995</v>
      </c>
      <c r="S149" s="7">
        <v>4.8520258619999996</v>
      </c>
    </row>
    <row r="150" spans="1:19" x14ac:dyDescent="0.3">
      <c r="A150" t="str">
        <v>Sierra Leone</v>
      </c>
      <c r="B150">
        <v>0.46700000000000003</v>
      </c>
      <c r="C150">
        <v>0.35690176000000001</v>
      </c>
      <c r="E150">
        <v>0.78600000000000003</v>
      </c>
      <c r="G150">
        <v>0.35690176000000001</v>
      </c>
      <c r="I150" s="1" t="str">
        <v>Mauritius</v>
      </c>
      <c r="J150" s="22">
        <v>0.80600000000000005</v>
      </c>
      <c r="K150" s="22">
        <v>0.36761206000000002</v>
      </c>
      <c r="L150" s="7">
        <v>1268280</v>
      </c>
      <c r="M150" s="7">
        <v>12217</v>
      </c>
      <c r="N150" s="7">
        <v>27279.96011</v>
      </c>
      <c r="O150" s="7">
        <v>0.36761206000000002</v>
      </c>
      <c r="P150" s="7">
        <v>0.80600000000000005</v>
      </c>
      <c r="Q150" s="7" t="str">
        <v/>
      </c>
      <c r="R150" s="7">
        <v>74.926000000000002</v>
      </c>
      <c r="S150" s="7">
        <v>10.10332754</v>
      </c>
    </row>
    <row r="151" spans="1:19" x14ac:dyDescent="0.3">
      <c r="A151" t="str">
        <v>Slovakia</v>
      </c>
      <c r="B151">
        <v>0.88</v>
      </c>
      <c r="C151">
        <v>0.24078926</v>
      </c>
      <c r="E151">
        <v>0.67400000000000004</v>
      </c>
      <c r="G151">
        <v>0.24078926</v>
      </c>
      <c r="I151" s="1" t="str">
        <v>Mayotte</v>
      </c>
      <c r="J151" s="22" t="str">
        <v/>
      </c>
      <c r="K151" s="22" t="str">
        <v/>
      </c>
      <c r="L151" s="7" t="str">
        <v/>
      </c>
      <c r="M151" s="7" t="str">
        <v/>
      </c>
      <c r="N151" s="7" t="str">
        <v/>
      </c>
      <c r="O151" s="7" t="str">
        <v/>
      </c>
      <c r="P151" s="7" t="str">
        <v/>
      </c>
      <c r="Q151" s="7" t="str">
        <v/>
      </c>
      <c r="R151" s="7" t="str">
        <v/>
      </c>
      <c r="S151" s="7" t="str">
        <v/>
      </c>
    </row>
    <row r="152" spans="1:19" x14ac:dyDescent="0.3">
      <c r="A152" t="str">
        <v>Slovenia</v>
      </c>
      <c r="B152">
        <v>0.93100000000000005</v>
      </c>
      <c r="C152">
        <v>0.24305065000000001</v>
      </c>
      <c r="E152">
        <v>0.83899999999999997</v>
      </c>
      <c r="G152">
        <v>0.24305065000000001</v>
      </c>
      <c r="I152" s="1" t="str">
        <v>Mexico</v>
      </c>
      <c r="J152" s="22">
        <v>0.78900000000000003</v>
      </c>
      <c r="K152" s="22">
        <v>0.43454006000000001</v>
      </c>
      <c r="L152" s="7">
        <v>131947000</v>
      </c>
      <c r="M152" s="7">
        <v>12828</v>
      </c>
      <c r="N152" s="7">
        <v>21812.65566</v>
      </c>
      <c r="O152" s="7">
        <v>0.43454006000000001</v>
      </c>
      <c r="P152" s="7">
        <v>0.78900000000000003</v>
      </c>
      <c r="Q152" s="7">
        <v>-12.2</v>
      </c>
      <c r="R152" s="7">
        <v>75.069000000000003</v>
      </c>
      <c r="S152" s="7">
        <v>9.3495109339999996</v>
      </c>
    </row>
    <row r="153" spans="1:19" x14ac:dyDescent="0.3">
      <c r="A153" t="str">
        <v>Solomon Islands</v>
      </c>
      <c r="B153">
        <v>0.58399999999999996</v>
      </c>
      <c r="C153">
        <v>0.37054925999999999</v>
      </c>
      <c r="E153">
        <v>0.57599999999999996</v>
      </c>
      <c r="G153">
        <v>0.37054925999999999</v>
      </c>
      <c r="I153" s="1" t="str">
        <v>Micronesia</v>
      </c>
      <c r="J153" s="22">
        <v>0.61499999999999999</v>
      </c>
      <c r="K153" s="22">
        <v>0.40052038000000001</v>
      </c>
      <c r="L153" s="7">
        <v>113683</v>
      </c>
      <c r="M153" s="7">
        <v>4398</v>
      </c>
      <c r="N153" s="7">
        <v>4245.8782430000001</v>
      </c>
      <c r="O153" s="7">
        <v>0.40052038000000001</v>
      </c>
      <c r="P153" s="7">
        <v>0.61499999999999999</v>
      </c>
      <c r="Q153" s="7" t="str">
        <v/>
      </c>
      <c r="R153" s="7">
        <v>67.197999999999993</v>
      </c>
      <c r="S153" s="7">
        <v>7.3325239800000004</v>
      </c>
    </row>
    <row r="154" spans="1:19" x14ac:dyDescent="0.3">
      <c r="A154" t="str">
        <v>South Africa</v>
      </c>
      <c r="B154">
        <v>0.74099999999999999</v>
      </c>
      <c r="C154">
        <v>0.63025719999999996</v>
      </c>
      <c r="E154">
        <v>0.75600000000000001</v>
      </c>
      <c r="G154">
        <v>0.63025719999999996</v>
      </c>
      <c r="I154" s="1" t="str">
        <v>Moldova</v>
      </c>
      <c r="J154" s="22">
        <v>0.78500000000000003</v>
      </c>
      <c r="K154" s="22">
        <v>0.25864446000000002</v>
      </c>
      <c r="L154" s="7">
        <v>2996110</v>
      </c>
      <c r="M154" s="7">
        <v>6496</v>
      </c>
      <c r="N154" s="7">
        <v>15866.54207</v>
      </c>
      <c r="O154" s="7">
        <v>0.25864446000000002</v>
      </c>
      <c r="P154" s="7">
        <v>0.78500000000000003</v>
      </c>
      <c r="Q154" s="7">
        <v>-30.8</v>
      </c>
      <c r="R154" s="7">
        <v>71.197999999999993</v>
      </c>
      <c r="S154" s="7">
        <v>11.829999920000001</v>
      </c>
    </row>
    <row r="155" spans="1:19" x14ac:dyDescent="0.3">
      <c r="A155" t="str">
        <v>South Korea</v>
      </c>
      <c r="B155">
        <v>0.93700000000000006</v>
      </c>
      <c r="C155">
        <v>0.32906574</v>
      </c>
      <c r="E155">
        <v>0.79400000000000004</v>
      </c>
      <c r="G155">
        <v>0.32906574</v>
      </c>
      <c r="I155" s="1" t="str">
        <v>Monaco</v>
      </c>
      <c r="J155" s="22" t="str">
        <v/>
      </c>
      <c r="K155" s="22" t="str">
        <v/>
      </c>
      <c r="L155" s="7">
        <v>38341</v>
      </c>
      <c r="M155" s="7">
        <v>260696</v>
      </c>
      <c r="N155" s="7" t="str">
        <v/>
      </c>
      <c r="O155" s="7" t="str">
        <v/>
      </c>
      <c r="P155" s="7" t="str">
        <v/>
      </c>
      <c r="Q155" s="7" t="str">
        <v/>
      </c>
      <c r="R155" s="7" t="str">
        <v/>
      </c>
      <c r="S155" s="7" t="str">
        <v/>
      </c>
    </row>
    <row r="156" spans="1:19" x14ac:dyDescent="0.3">
      <c r="A156" t="str">
        <v>South Sudan</v>
      </c>
      <c r="B156">
        <v>0.38800000000000001</v>
      </c>
      <c r="C156">
        <v>0.44047811999999997</v>
      </c>
      <c r="E156">
        <v>0.72</v>
      </c>
      <c r="G156">
        <v>0.44047811999999997</v>
      </c>
      <c r="I156" s="1" t="str">
        <v>Mongolia</v>
      </c>
      <c r="J156" s="22">
        <v>0.747</v>
      </c>
      <c r="K156" s="22">
        <v>0.31416475999999999</v>
      </c>
      <c r="L156" s="7">
        <v>3517100</v>
      </c>
      <c r="M156" s="7">
        <v>7337</v>
      </c>
      <c r="N156" s="7">
        <v>14787.08237</v>
      </c>
      <c r="O156" s="7">
        <v>0.31416475999999999</v>
      </c>
      <c r="P156" s="7">
        <v>0.747</v>
      </c>
      <c r="Q156" s="7" t="str">
        <v/>
      </c>
      <c r="R156" s="7">
        <v>71.733999999999995</v>
      </c>
      <c r="S156" s="7">
        <v>9.4200000760000009</v>
      </c>
    </row>
    <row r="157" spans="1:19" x14ac:dyDescent="0.3">
      <c r="A157" t="str">
        <v>Spain</v>
      </c>
      <c r="B157">
        <v>0.91800000000000004</v>
      </c>
      <c r="C157">
        <v>0.33579419999999999</v>
      </c>
      <c r="E157">
        <v>0.90600000000000003</v>
      </c>
      <c r="G157">
        <v>0.33579419999999999</v>
      </c>
      <c r="I157" s="1" t="str">
        <v>Montenegro</v>
      </c>
      <c r="J157" s="22">
        <v>0.86199999999999999</v>
      </c>
      <c r="K157" s="22">
        <v>0.34296975000000002</v>
      </c>
      <c r="L157" s="7">
        <v>632729</v>
      </c>
      <c r="M157" s="7">
        <v>13532</v>
      </c>
      <c r="N157" s="7">
        <v>28026.330399999999</v>
      </c>
      <c r="O157" s="7">
        <v>0.34296975000000002</v>
      </c>
      <c r="P157" s="7">
        <v>0.86199999999999999</v>
      </c>
      <c r="Q157" s="7" t="str">
        <v/>
      </c>
      <c r="R157" s="7">
        <v>77.087000000000003</v>
      </c>
      <c r="S157" s="7">
        <v>12.773925719999999</v>
      </c>
    </row>
    <row r="158" spans="1:19" x14ac:dyDescent="0.3">
      <c r="A158" t="str">
        <v>Sri Lanka</v>
      </c>
      <c r="B158">
        <v>0.77600000000000002</v>
      </c>
      <c r="C158">
        <v>0.37663775999999999</v>
      </c>
      <c r="E158">
        <v>0.89</v>
      </c>
      <c r="G158">
        <v>0.37663775999999999</v>
      </c>
      <c r="I158" s="1" t="str">
        <v>Montserrat</v>
      </c>
      <c r="J158" s="22" t="str">
        <v/>
      </c>
      <c r="K158" s="22" t="str">
        <v/>
      </c>
      <c r="L158" s="7">
        <v>4359</v>
      </c>
      <c r="M158" s="7">
        <v>18451</v>
      </c>
      <c r="N158" s="7" t="str">
        <v/>
      </c>
      <c r="O158" s="7" t="str">
        <v/>
      </c>
      <c r="P158" s="7" t="str">
        <v/>
      </c>
      <c r="Q158" s="7" t="str">
        <v/>
      </c>
      <c r="R158" s="7" t="str">
        <v/>
      </c>
      <c r="S158" s="7" t="str">
        <v/>
      </c>
    </row>
    <row r="159" spans="1:19" x14ac:dyDescent="0.3">
      <c r="A159" t="str">
        <v>Sudan</v>
      </c>
      <c r="B159">
        <v>0.51100000000000001</v>
      </c>
      <c r="C159">
        <v>0.34242942999999998</v>
      </c>
      <c r="E159">
        <v>0.88600000000000001</v>
      </c>
      <c r="G159">
        <v>0.34242942999999998</v>
      </c>
      <c r="I159" s="1" t="str">
        <v>Morocco</v>
      </c>
      <c r="J159" s="22">
        <v>0.71</v>
      </c>
      <c r="K159" s="22">
        <v>0.39548506999999999</v>
      </c>
      <c r="L159" s="7">
        <v>38430800</v>
      </c>
      <c r="M159" s="7">
        <v>4315</v>
      </c>
      <c r="N159" s="7">
        <v>8652.8808590000008</v>
      </c>
      <c r="O159" s="7">
        <v>0.39548506999999999</v>
      </c>
      <c r="P159" s="7">
        <v>0.71</v>
      </c>
      <c r="Q159" s="7" t="str">
        <v/>
      </c>
      <c r="R159" s="7">
        <v>75.313000000000002</v>
      </c>
      <c r="S159" s="7">
        <v>6.1980000000000004</v>
      </c>
    </row>
    <row r="160" spans="1:19" x14ac:dyDescent="0.3">
      <c r="A160" t="str">
        <v>Suriname</v>
      </c>
      <c r="B160">
        <v>0.72199999999999998</v>
      </c>
      <c r="C160">
        <v>0.39179897000000002</v>
      </c>
      <c r="E160">
        <v>0.64900000000000002</v>
      </c>
      <c r="G160">
        <v>0.39179897000000002</v>
      </c>
      <c r="I160" s="1" t="str">
        <v>Mozambique</v>
      </c>
      <c r="J160" s="22">
        <v>0.49299999999999999</v>
      </c>
      <c r="K160" s="22">
        <v>0.50263760000000002</v>
      </c>
      <c r="L160" s="7">
        <v>35631700</v>
      </c>
      <c r="M160" s="7">
        <v>667</v>
      </c>
      <c r="N160" s="7">
        <v>1355.7670760000001</v>
      </c>
      <c r="O160" s="7">
        <v>0.50263760000000002</v>
      </c>
      <c r="P160" s="7">
        <v>0.49299999999999999</v>
      </c>
      <c r="Q160" s="7" t="str">
        <v/>
      </c>
      <c r="R160" s="7">
        <v>63.610999999999997</v>
      </c>
      <c r="S160" s="7">
        <v>4.5904898640000003</v>
      </c>
    </row>
    <row r="161" spans="1:19" x14ac:dyDescent="0.3">
      <c r="A161" t="str">
        <v>Sweden</v>
      </c>
      <c r="B161">
        <v>0.95899999999999996</v>
      </c>
      <c r="C161">
        <v>0.31608360000000002</v>
      </c>
      <c r="E161">
        <v>0.84499999999999997</v>
      </c>
      <c r="G161">
        <v>0.31608360000000002</v>
      </c>
      <c r="I161" s="1" t="str">
        <v>Myanmar</v>
      </c>
      <c r="J161" s="22">
        <v>0.60899999999999999</v>
      </c>
      <c r="K161" s="22">
        <v>0.30696869999999998</v>
      </c>
      <c r="L161" s="7">
        <v>54850600</v>
      </c>
      <c r="M161" s="7">
        <v>1184</v>
      </c>
      <c r="N161" s="7">
        <v>4918.8105770000002</v>
      </c>
      <c r="O161" s="7">
        <v>0.30696869999999998</v>
      </c>
      <c r="P161" s="7">
        <v>0.60899999999999999</v>
      </c>
      <c r="Q161" s="7" t="str">
        <v/>
      </c>
      <c r="R161" s="7">
        <v>66.888999999999996</v>
      </c>
      <c r="S161" s="7">
        <v>6.3800001140000004</v>
      </c>
    </row>
    <row r="162" spans="1:19" x14ac:dyDescent="0.3">
      <c r="A162" t="str">
        <v>Switzerland</v>
      </c>
      <c r="B162">
        <v>0.97</v>
      </c>
      <c r="C162">
        <v>0.33824313</v>
      </c>
      <c r="E162">
        <v>0.83199999999999996</v>
      </c>
      <c r="G162">
        <v>0.33824313</v>
      </c>
      <c r="I162" s="1" t="str">
        <v>Namibia</v>
      </c>
      <c r="J162" s="22">
        <v>0.66500000000000004</v>
      </c>
      <c r="K162" s="22">
        <v>0.59066609999999997</v>
      </c>
      <c r="L162" s="7">
        <v>3092820</v>
      </c>
      <c r="M162" s="7">
        <v>4596</v>
      </c>
      <c r="N162" s="7">
        <v>10916.60872</v>
      </c>
      <c r="O162" s="7">
        <v>0.59066609999999997</v>
      </c>
      <c r="P162" s="7">
        <v>0.66500000000000004</v>
      </c>
      <c r="Q162" s="7" t="str">
        <v/>
      </c>
      <c r="R162" s="7">
        <v>67.385000000000005</v>
      </c>
      <c r="S162" s="7">
        <v>7.273146745</v>
      </c>
    </row>
    <row r="163" spans="1:19" x14ac:dyDescent="0.3">
      <c r="A163" t="str">
        <v>Syria</v>
      </c>
      <c r="B163">
        <v>0.56399999999999995</v>
      </c>
      <c r="C163">
        <v>0.26628074000000002</v>
      </c>
      <c r="E163">
        <v>0.57799999999999996</v>
      </c>
      <c r="G163">
        <v>0.26628074000000002</v>
      </c>
      <c r="I163" s="1" t="str">
        <v>Nauru</v>
      </c>
      <c r="J163" s="22">
        <v>0.70299999999999996</v>
      </c>
      <c r="K163" s="22">
        <v>0.32361580000000001</v>
      </c>
      <c r="L163" s="7">
        <v>12025</v>
      </c>
      <c r="M163" s="7">
        <v>14054</v>
      </c>
      <c r="N163" s="7">
        <v>19642.377700000001</v>
      </c>
      <c r="O163" s="7">
        <v>0.32361580000000001</v>
      </c>
      <c r="P163" s="7">
        <v>0.70299999999999996</v>
      </c>
      <c r="Q163" s="7" t="str">
        <v/>
      </c>
      <c r="R163" s="7">
        <v>62.109000000000002</v>
      </c>
      <c r="S163" s="7">
        <v>9.4486376760000006</v>
      </c>
    </row>
    <row r="164" spans="1:19" x14ac:dyDescent="0.3">
      <c r="A164" t="str">
        <v>Tajikistan</v>
      </c>
      <c r="B164">
        <v>0.69099999999999995</v>
      </c>
      <c r="C164">
        <v>0.33995535999999998</v>
      </c>
      <c r="E164">
        <v>0.84</v>
      </c>
      <c r="G164">
        <v>0.31566375000000002</v>
      </c>
      <c r="I164" s="1" t="str">
        <v>Nepal</v>
      </c>
      <c r="J164" s="22">
        <v>0.622</v>
      </c>
      <c r="K164" s="22">
        <v>0.30020264000000002</v>
      </c>
      <c r="L164" s="7">
        <v>29618100</v>
      </c>
      <c r="M164" s="7">
        <v>1556</v>
      </c>
      <c r="N164" s="7">
        <v>4725.9306130000004</v>
      </c>
      <c r="O164" s="7">
        <v>0.30020264000000002</v>
      </c>
      <c r="P164" s="7">
        <v>0.622</v>
      </c>
      <c r="Q164" s="7" t="str">
        <v/>
      </c>
      <c r="R164" s="7">
        <v>70.353999999999999</v>
      </c>
      <c r="S164" s="7">
        <v>4.5037298200000002</v>
      </c>
    </row>
    <row r="165" spans="1:19" x14ac:dyDescent="0.3">
      <c r="A165" t="str">
        <v>Tanzania</v>
      </c>
      <c r="B165">
        <v>0.55500000000000005</v>
      </c>
      <c r="C165">
        <v>0.4049123</v>
      </c>
      <c r="E165">
        <v>0.748</v>
      </c>
      <c r="G165">
        <v>0.33995535999999998</v>
      </c>
      <c r="I165" s="1" t="str">
        <v>Netherlands</v>
      </c>
      <c r="J165" s="22">
        <v>0.95499999999999996</v>
      </c>
      <c r="K165" s="22">
        <v>0.25743870000000002</v>
      </c>
      <c r="L165" s="7">
        <v>18346800</v>
      </c>
      <c r="M165" s="7">
        <v>69331</v>
      </c>
      <c r="N165" s="7">
        <v>68344.308260000005</v>
      </c>
      <c r="O165" s="7">
        <v>0.25743870000000002</v>
      </c>
      <c r="P165" s="7">
        <v>0.95499999999999996</v>
      </c>
      <c r="Q165" s="7" t="str">
        <v/>
      </c>
      <c r="R165" s="7">
        <v>82.158000000000001</v>
      </c>
      <c r="S165" s="7">
        <v>12.66994689</v>
      </c>
    </row>
    <row r="166" spans="1:19" x14ac:dyDescent="0.3">
      <c r="A166" t="str">
        <v>Thailand</v>
      </c>
      <c r="B166">
        <v>0.79800000000000004</v>
      </c>
      <c r="C166">
        <v>0.33494889999999999</v>
      </c>
      <c r="E166">
        <v>0.79800000000000004</v>
      </c>
      <c r="G166">
        <v>0.4049123</v>
      </c>
      <c r="I166" s="1" t="str">
        <v>New Caledonia</v>
      </c>
      <c r="J166" s="22" t="str">
        <v/>
      </c>
      <c r="K166" s="22" t="str">
        <v/>
      </c>
      <c r="L166" s="7">
        <v>295333</v>
      </c>
      <c r="M166" s="7">
        <v>34334</v>
      </c>
      <c r="N166" s="7" t="str">
        <v/>
      </c>
      <c r="O166" s="7" t="str">
        <v/>
      </c>
      <c r="P166" s="7" t="str">
        <v/>
      </c>
      <c r="Q166" s="7" t="str">
        <v/>
      </c>
      <c r="R166" s="7" t="str">
        <v/>
      </c>
      <c r="S166" s="7" t="str">
        <v/>
      </c>
    </row>
    <row r="167" spans="1:19" x14ac:dyDescent="0.3">
      <c r="A167" t="str">
        <v>Timor-Leste</v>
      </c>
      <c r="B167">
        <v>0.63400000000000001</v>
      </c>
      <c r="C167">
        <v>0.28652927</v>
      </c>
      <c r="E167">
        <v>0.70799999999999996</v>
      </c>
      <c r="G167">
        <v>0.33494889999999999</v>
      </c>
      <c r="I167" s="1" t="str">
        <v>New Zealand</v>
      </c>
      <c r="J167" s="22">
        <v>0.93799999999999994</v>
      </c>
      <c r="K167" s="22" t="str">
        <v/>
      </c>
      <c r="L167" s="7">
        <v>5251900</v>
      </c>
      <c r="M167" s="7">
        <v>47348</v>
      </c>
      <c r="N167" s="7">
        <v>47259.601369999997</v>
      </c>
      <c r="O167" s="7" t="str">
        <v/>
      </c>
      <c r="P167" s="7">
        <v>0.93799999999999994</v>
      </c>
      <c r="Q167" s="7">
        <v>-14.8</v>
      </c>
      <c r="R167" s="7">
        <v>82.087999999999994</v>
      </c>
      <c r="S167" s="7">
        <v>12.882998069999999</v>
      </c>
    </row>
    <row r="168" spans="1:19" x14ac:dyDescent="0.3">
      <c r="A168" t="str">
        <v>Togo</v>
      </c>
      <c r="B168">
        <v>0.57099999999999995</v>
      </c>
      <c r="C168">
        <v>0.37858006</v>
      </c>
      <c r="E168">
        <v>0.91500000000000004</v>
      </c>
      <c r="G168">
        <v>0.28652927</v>
      </c>
      <c r="I168" s="1" t="str">
        <v>Nicaragua</v>
      </c>
      <c r="J168" s="22">
        <v>0.70599999999999996</v>
      </c>
      <c r="K168" s="22">
        <v>0.46156292999999998</v>
      </c>
      <c r="L168" s="7">
        <v>7007500</v>
      </c>
      <c r="M168" s="7">
        <v>3019</v>
      </c>
      <c r="N168" s="7">
        <v>6881.479609</v>
      </c>
      <c r="O168" s="7">
        <v>0.46156292999999998</v>
      </c>
      <c r="P168" s="7">
        <v>0.70599999999999996</v>
      </c>
      <c r="Q168" s="7">
        <v>-23.2</v>
      </c>
      <c r="R168" s="7">
        <v>74.947000000000003</v>
      </c>
      <c r="S168" s="7">
        <v>9.9330196379999993</v>
      </c>
    </row>
    <row r="169" spans="1:19" x14ac:dyDescent="0.3">
      <c r="A169" t="str">
        <v>Tonga</v>
      </c>
      <c r="B169">
        <v>0.76900000000000002</v>
      </c>
      <c r="C169">
        <v>0.27095764999999999</v>
      </c>
      <c r="E169">
        <v>0.63700000000000001</v>
      </c>
      <c r="G169">
        <v>0.37858006</v>
      </c>
      <c r="I169" s="1" t="str">
        <v>Niger</v>
      </c>
      <c r="J169" s="22">
        <v>0.41899999999999998</v>
      </c>
      <c r="K169" s="22">
        <v>0.32862564999999999</v>
      </c>
      <c r="L169" s="7">
        <v>27917800</v>
      </c>
      <c r="M169" s="7">
        <v>784</v>
      </c>
      <c r="N169" s="7">
        <v>1590.18796</v>
      </c>
      <c r="O169" s="7">
        <v>0.32862564999999999</v>
      </c>
      <c r="P169" s="7">
        <v>0.41899999999999998</v>
      </c>
      <c r="Q169" s="7" t="str">
        <v/>
      </c>
      <c r="R169" s="7">
        <v>61.183</v>
      </c>
      <c r="S169" s="7">
        <v>1.4122893409999999</v>
      </c>
    </row>
    <row r="170" spans="1:19" x14ac:dyDescent="0.3">
      <c r="A170" t="str">
        <v>Tunisia</v>
      </c>
      <c r="B170">
        <v>0.746</v>
      </c>
      <c r="C170">
        <v>0.33716425</v>
      </c>
      <c r="E170">
        <v>0.9</v>
      </c>
      <c r="G170">
        <v>0.27095764999999999</v>
      </c>
      <c r="I170" s="1" t="str">
        <v>Nigeria</v>
      </c>
      <c r="J170" s="22">
        <v>0.56000000000000005</v>
      </c>
      <c r="K170" s="22">
        <v>0.35127744</v>
      </c>
      <c r="L170" s="7">
        <v>237528000</v>
      </c>
      <c r="M170" s="7">
        <v>793</v>
      </c>
      <c r="N170" s="7">
        <v>5569.3749749999997</v>
      </c>
      <c r="O170" s="7">
        <v>0.35127744</v>
      </c>
      <c r="P170" s="7">
        <v>0.56000000000000005</v>
      </c>
      <c r="Q170" s="7" t="str">
        <v/>
      </c>
      <c r="R170" s="7">
        <v>54.462000000000003</v>
      </c>
      <c r="S170" s="7">
        <v>7.5859699249999997</v>
      </c>
    </row>
    <row r="171" spans="1:19" x14ac:dyDescent="0.3">
      <c r="A171" t="str">
        <v>Turkey</v>
      </c>
      <c r="B171">
        <v>0.85299999999999998</v>
      </c>
      <c r="C171">
        <v>0.44467676</v>
      </c>
      <c r="E171">
        <v>0.53</v>
      </c>
      <c r="G171">
        <v>0.33716425</v>
      </c>
      <c r="I171" s="1" t="str">
        <v>Niue</v>
      </c>
      <c r="J171" s="22" t="str">
        <v/>
      </c>
      <c r="K171" s="22" t="str">
        <v/>
      </c>
      <c r="L171" s="7" t="str">
        <v/>
      </c>
      <c r="M171" s="7" t="str">
        <v/>
      </c>
      <c r="N171" s="7" t="str">
        <v/>
      </c>
      <c r="O171" s="7" t="str">
        <v/>
      </c>
      <c r="P171" s="7" t="str">
        <v/>
      </c>
      <c r="Q171" s="7" t="str">
        <v/>
      </c>
      <c r="R171" s="7" t="str">
        <v/>
      </c>
      <c r="S171" s="7" t="str">
        <v/>
      </c>
    </row>
    <row r="172" spans="1:19" x14ac:dyDescent="0.3">
      <c r="A172" t="str">
        <v>Tuvalu</v>
      </c>
      <c r="B172">
        <v>0.68899999999999995</v>
      </c>
      <c r="C172">
        <v>0.39139032000000001</v>
      </c>
      <c r="E172">
        <v>0.83299999999999996</v>
      </c>
      <c r="G172">
        <v>0.44467676</v>
      </c>
      <c r="I172" s="1" t="str">
        <v>North Korea</v>
      </c>
      <c r="J172" s="22" t="str">
        <v/>
      </c>
      <c r="K172" s="22" t="str">
        <v/>
      </c>
      <c r="L172" s="7">
        <v>26571000</v>
      </c>
      <c r="M172" s="7">
        <v>619</v>
      </c>
      <c r="N172" s="7" t="str">
        <v/>
      </c>
      <c r="O172" s="7" t="str">
        <v/>
      </c>
      <c r="P172" s="7" t="str">
        <v/>
      </c>
      <c r="Q172" s="7" t="str">
        <v/>
      </c>
      <c r="R172" s="7" t="str">
        <v/>
      </c>
      <c r="S172" s="7" t="str">
        <v/>
      </c>
    </row>
    <row r="173" spans="1:19" x14ac:dyDescent="0.3">
      <c r="A173" t="str">
        <v>Uganda</v>
      </c>
      <c r="B173">
        <v>0.58199999999999996</v>
      </c>
      <c r="C173">
        <v>0.42702177000000002</v>
      </c>
      <c r="E173">
        <v>0.84799999999999998</v>
      </c>
      <c r="G173">
        <v>0.39139032000000001</v>
      </c>
      <c r="I173" s="1" t="str">
        <v>North Macedonia</v>
      </c>
      <c r="J173" s="22">
        <v>0.81499999999999995</v>
      </c>
      <c r="K173" s="22">
        <v>0.33505829999999998</v>
      </c>
      <c r="L173" s="7">
        <v>1813790</v>
      </c>
      <c r="M173" s="7">
        <v>9861</v>
      </c>
      <c r="N173" s="7">
        <v>22128.394609999999</v>
      </c>
      <c r="O173" s="7">
        <v>0.33505829999999998</v>
      </c>
      <c r="P173" s="7">
        <v>0.81499999999999995</v>
      </c>
      <c r="Q173" s="7" t="str">
        <v/>
      </c>
      <c r="R173" s="7">
        <v>77.394999999999996</v>
      </c>
      <c r="S173" s="7">
        <v>10.22999954</v>
      </c>
    </row>
    <row r="174" spans="1:19" x14ac:dyDescent="0.3">
      <c r="A174" t="str">
        <v>Ukraine</v>
      </c>
      <c r="B174">
        <v>0.77900000000000003</v>
      </c>
      <c r="C174">
        <v>0.25627362999999997</v>
      </c>
      <c r="E174">
        <v>0.46700000000000003</v>
      </c>
      <c r="G174">
        <v>0.42702177000000002</v>
      </c>
      <c r="I174" s="1" t="str">
        <v>Northern Mariana Islands</v>
      </c>
      <c r="J174" s="22" t="str">
        <v/>
      </c>
      <c r="K174" s="22" t="str">
        <v/>
      </c>
      <c r="L174" s="7" t="str">
        <v/>
      </c>
      <c r="M174" s="7" t="str">
        <v/>
      </c>
      <c r="N174" s="7" t="str">
        <v/>
      </c>
      <c r="O174" s="7" t="str">
        <v/>
      </c>
      <c r="P174" s="7" t="str">
        <v/>
      </c>
      <c r="Q174" s="7" t="str">
        <v/>
      </c>
      <c r="R174" s="7" t="str">
        <v/>
      </c>
      <c r="S174" s="7" t="str">
        <v/>
      </c>
    </row>
    <row r="175" spans="1:19" x14ac:dyDescent="0.3">
      <c r="A175" t="str">
        <v>United Arab Emirates</v>
      </c>
      <c r="B175">
        <v>0.94</v>
      </c>
      <c r="C175">
        <v>0.26399003999999998</v>
      </c>
      <c r="E175">
        <v>0.94599999999999995</v>
      </c>
      <c r="G175">
        <v>0.25627362999999997</v>
      </c>
      <c r="I175" s="1" t="str">
        <v>Norway</v>
      </c>
      <c r="J175" s="22">
        <v>0.97</v>
      </c>
      <c r="K175" s="22">
        <v>0.26946252999999998</v>
      </c>
      <c r="L175" s="7">
        <v>5623070</v>
      </c>
      <c r="M175" s="7">
        <v>89680</v>
      </c>
      <c r="N175" s="7">
        <v>112710.0211</v>
      </c>
      <c r="O175" s="7">
        <v>0.26946252999999998</v>
      </c>
      <c r="P175" s="7">
        <v>0.97</v>
      </c>
      <c r="Q175" s="7">
        <v>22.1</v>
      </c>
      <c r="R175" s="7">
        <v>83.308000000000007</v>
      </c>
      <c r="S175" s="7">
        <v>13.117962179999999</v>
      </c>
    </row>
    <row r="176" spans="1:19" x14ac:dyDescent="0.3">
      <c r="A176" t="str">
        <v>United Kingdom</v>
      </c>
      <c r="B176">
        <v>0.94599999999999995</v>
      </c>
      <c r="C176">
        <v>0.32414632999999998</v>
      </c>
      <c r="E176">
        <v>0.88</v>
      </c>
      <c r="G176">
        <v>0.26399003999999998</v>
      </c>
      <c r="I176" s="1" t="str">
        <v>Oman</v>
      </c>
      <c r="J176" s="22">
        <v>0.85799999999999998</v>
      </c>
      <c r="K176" s="22" t="str">
        <v/>
      </c>
      <c r="L176" s="7">
        <v>5494690</v>
      </c>
      <c r="M176" s="7">
        <v>18991</v>
      </c>
      <c r="N176" s="7">
        <v>36096.041230000003</v>
      </c>
      <c r="O176" s="7" t="str">
        <v/>
      </c>
      <c r="P176" s="7">
        <v>0.85799999999999998</v>
      </c>
      <c r="Q176" s="7">
        <v>-34</v>
      </c>
      <c r="R176" s="7">
        <v>80.031000000000006</v>
      </c>
      <c r="S176" s="7">
        <v>11.89000034</v>
      </c>
    </row>
    <row r="177" spans="1:19" x14ac:dyDescent="0.3">
      <c r="A177" t="str">
        <v>United States</v>
      </c>
      <c r="B177">
        <v>0.93799999999999994</v>
      </c>
      <c r="C177">
        <v>0.41818877999999998</v>
      </c>
      <c r="E177">
        <v>0.93100000000000005</v>
      </c>
      <c r="G177">
        <v>0.32414632999999998</v>
      </c>
      <c r="I177" s="1" t="str">
        <v>Pakistan</v>
      </c>
      <c r="J177" s="22">
        <v>0.54400000000000004</v>
      </c>
      <c r="K177" s="22">
        <v>0.29589265999999997</v>
      </c>
      <c r="L177" s="7">
        <v>255220000</v>
      </c>
      <c r="M177" s="7">
        <v>1175</v>
      </c>
      <c r="N177" s="7">
        <v>5501.1329320000004</v>
      </c>
      <c r="O177" s="7">
        <v>0.29589265999999997</v>
      </c>
      <c r="P177" s="7">
        <v>0.54400000000000004</v>
      </c>
      <c r="Q177" s="7">
        <v>-36.9</v>
      </c>
      <c r="R177" s="7">
        <v>67.649000000000001</v>
      </c>
      <c r="S177" s="7">
        <v>4.3169870379999997</v>
      </c>
    </row>
    <row r="178" spans="1:19" x14ac:dyDescent="0.3">
      <c r="A178" t="str">
        <v>Uruguay</v>
      </c>
      <c r="B178">
        <v>0.86199999999999999</v>
      </c>
      <c r="C178">
        <v>0.40867536999999998</v>
      </c>
      <c r="E178">
        <v>0.58399999999999996</v>
      </c>
      <c r="G178">
        <v>0.41818877999999998</v>
      </c>
      <c r="I178" s="1" t="str">
        <v>Palau</v>
      </c>
      <c r="J178" s="22">
        <v>0.78600000000000003</v>
      </c>
      <c r="K178" s="22" t="str">
        <v/>
      </c>
      <c r="L178" s="7">
        <v>17663</v>
      </c>
      <c r="M178" s="7">
        <v>18853</v>
      </c>
      <c r="N178" s="7">
        <v>16034.51036</v>
      </c>
      <c r="O178" s="7" t="str">
        <v/>
      </c>
      <c r="P178" s="7">
        <v>0.78600000000000003</v>
      </c>
      <c r="Q178" s="7" t="str">
        <v/>
      </c>
      <c r="R178" s="7">
        <v>69.269000000000005</v>
      </c>
      <c r="S178" s="7">
        <v>13.29903477</v>
      </c>
    </row>
    <row r="179" spans="1:19" x14ac:dyDescent="0.3">
      <c r="A179" t="str">
        <v>Uzbekistan</v>
      </c>
      <c r="B179">
        <v>0.74</v>
      </c>
      <c r="C179">
        <v>0.34538773</v>
      </c>
      <c r="E179">
        <v>0.40400000000000003</v>
      </c>
      <c r="G179">
        <v>0.40867536999999998</v>
      </c>
      <c r="I179" s="1" t="str">
        <v>Palestine</v>
      </c>
      <c r="J179" s="22">
        <v>0.67400000000000004</v>
      </c>
      <c r="K179" s="22">
        <v>0.36381876000000002</v>
      </c>
      <c r="L179" s="7">
        <v>5589620</v>
      </c>
      <c r="M179" s="7">
        <v>3112</v>
      </c>
      <c r="N179" s="7">
        <v>6547.0986350000003</v>
      </c>
      <c r="O179" s="7">
        <v>0.36381876000000002</v>
      </c>
      <c r="P179" s="7">
        <v>0.67400000000000004</v>
      </c>
      <c r="Q179" s="7" t="str">
        <v/>
      </c>
      <c r="R179" s="7">
        <v>65.17</v>
      </c>
      <c r="S179" s="7">
        <v>10.130000109999999</v>
      </c>
    </row>
    <row r="180" spans="1:19" x14ac:dyDescent="0.3">
      <c r="A180" t="str">
        <v>Vanuatu</v>
      </c>
      <c r="B180">
        <v>0.621</v>
      </c>
      <c r="C180">
        <v>0.32317575999999998</v>
      </c>
      <c r="E180">
        <v>0.74099999999999999</v>
      </c>
      <c r="G180">
        <v>0.34538773</v>
      </c>
      <c r="I180" s="1" t="str">
        <v>Panama</v>
      </c>
      <c r="J180" s="22">
        <v>0.83899999999999997</v>
      </c>
      <c r="K180" s="22">
        <v>0.48875666000000001</v>
      </c>
      <c r="L180" s="7">
        <v>4571190</v>
      </c>
      <c r="M180" s="7">
        <v>20055</v>
      </c>
      <c r="N180" s="7">
        <v>34384.56813</v>
      </c>
      <c r="O180" s="7">
        <v>0.48875666000000001</v>
      </c>
      <c r="P180" s="7">
        <v>0.83899999999999997</v>
      </c>
      <c r="Q180" s="7" t="str">
        <v/>
      </c>
      <c r="R180" s="7">
        <v>79.593999999999994</v>
      </c>
      <c r="S180" s="7">
        <v>10.833750950000001</v>
      </c>
    </row>
    <row r="181" spans="1:19" x14ac:dyDescent="0.3">
      <c r="A181" t="str">
        <v>Vietnam</v>
      </c>
      <c r="B181">
        <v>0.76600000000000001</v>
      </c>
      <c r="C181">
        <v>0.36093006</v>
      </c>
      <c r="E181">
        <v>0.93700000000000006</v>
      </c>
      <c r="G181">
        <v>0.32317575999999998</v>
      </c>
      <c r="I181" s="1" t="str">
        <v>Papua New Guinea</v>
      </c>
      <c r="J181" s="22">
        <v>0.57599999999999996</v>
      </c>
      <c r="K181" s="22" t="str">
        <v/>
      </c>
      <c r="L181" s="7">
        <v>10762800</v>
      </c>
      <c r="M181" s="7">
        <v>3051</v>
      </c>
      <c r="N181" s="7">
        <v>3970.6477070000001</v>
      </c>
      <c r="O181" s="7" t="str">
        <v/>
      </c>
      <c r="P181" s="7">
        <v>0.57599999999999996</v>
      </c>
      <c r="Q181" s="7" t="str">
        <v/>
      </c>
      <c r="R181" s="7">
        <v>66.134</v>
      </c>
      <c r="S181" s="7">
        <v>4.9625310779999996</v>
      </c>
    </row>
    <row r="182" spans="1:19" x14ac:dyDescent="0.3">
      <c r="A182" t="str">
        <v>Yemen</v>
      </c>
      <c r="B182">
        <v>0.47</v>
      </c>
      <c r="C182">
        <v>0.36707094000000001</v>
      </c>
      <c r="E182">
        <v>0.38800000000000001</v>
      </c>
      <c r="G182">
        <v>0.36093006</v>
      </c>
      <c r="I182" s="1" t="str">
        <v>Paraguay</v>
      </c>
      <c r="J182" s="22">
        <v>0.75600000000000001</v>
      </c>
      <c r="K182" s="22">
        <v>0.44382226000000002</v>
      </c>
      <c r="L182" s="7">
        <v>7013080</v>
      </c>
      <c r="M182" s="7">
        <v>6483</v>
      </c>
      <c r="N182" s="7">
        <v>15252.220160000001</v>
      </c>
      <c r="O182" s="7">
        <v>0.44382226000000002</v>
      </c>
      <c r="P182" s="7">
        <v>0.75600000000000001</v>
      </c>
      <c r="Q182" s="7" t="str">
        <v/>
      </c>
      <c r="R182" s="7">
        <v>73.843999999999994</v>
      </c>
      <c r="S182" s="7">
        <v>8.9306533849999994</v>
      </c>
    </row>
    <row r="183" spans="1:19" x14ac:dyDescent="0.3">
      <c r="A183" t="str">
        <v>Zambia</v>
      </c>
      <c r="B183">
        <v>0.59499999999999997</v>
      </c>
      <c r="C183">
        <v>0.51484949999999996</v>
      </c>
      <c r="E183">
        <v>0.91800000000000004</v>
      </c>
      <c r="G183">
        <v>0.36707094000000001</v>
      </c>
      <c r="I183" s="1" t="str">
        <v>Peru</v>
      </c>
      <c r="J183" s="22">
        <v>0.79400000000000004</v>
      </c>
      <c r="K183" s="22">
        <v>0.40657840000000001</v>
      </c>
      <c r="L183" s="7">
        <v>34576700</v>
      </c>
      <c r="M183" s="7">
        <v>8772</v>
      </c>
      <c r="N183" s="7">
        <v>14338.709769999999</v>
      </c>
      <c r="O183" s="7">
        <v>0.40657840000000001</v>
      </c>
      <c r="P183" s="7">
        <v>0.79400000000000004</v>
      </c>
      <c r="Q183" s="7">
        <v>-21.2</v>
      </c>
      <c r="R183" s="7">
        <v>77.739999999999995</v>
      </c>
      <c r="S183" s="7">
        <v>10.15465159</v>
      </c>
    </row>
    <row r="184" spans="1:19" x14ac:dyDescent="0.3">
      <c r="A184" t="str">
        <v>Zimbabwe</v>
      </c>
      <c r="B184">
        <v>0.59799999999999998</v>
      </c>
      <c r="C184">
        <v>0.50256449999999997</v>
      </c>
      <c r="E184">
        <v>0.77600000000000002</v>
      </c>
      <c r="G184">
        <v>0.51484949999999996</v>
      </c>
      <c r="I184" s="1" t="str">
        <v>Philippines</v>
      </c>
      <c r="J184" s="22">
        <v>0.72</v>
      </c>
      <c r="K184" s="22">
        <v>0.35203487</v>
      </c>
      <c r="L184" s="7">
        <v>116787000</v>
      </c>
      <c r="M184" s="7">
        <v>4260</v>
      </c>
      <c r="N184" s="7">
        <v>10731.20422</v>
      </c>
      <c r="O184" s="7">
        <v>0.35203487</v>
      </c>
      <c r="P184" s="7">
        <v>0.72</v>
      </c>
      <c r="Q184" s="7">
        <v>-50.4</v>
      </c>
      <c r="R184" s="7">
        <v>69.832999999999998</v>
      </c>
      <c r="S184" s="7">
        <v>9.9772396089999997</v>
      </c>
    </row>
    <row r="185" spans="1:19" x14ac:dyDescent="0.3">
      <c r="E185">
        <v>0.51100000000000001</v>
      </c>
      <c r="G185">
        <v>0.50256449999999997</v>
      </c>
      <c r="I185" s="1" t="str">
        <v>Poland</v>
      </c>
      <c r="J185" s="22">
        <v>0.90600000000000003</v>
      </c>
      <c r="K185" s="22">
        <v>0.28858184999999997</v>
      </c>
      <c r="L185" s="7">
        <v>38140900</v>
      </c>
      <c r="M185" s="7">
        <v>25693</v>
      </c>
      <c r="N185" s="7">
        <v>42217.637779999997</v>
      </c>
      <c r="O185" s="7">
        <v>0.28858184999999997</v>
      </c>
      <c r="P185" s="7">
        <v>0.90600000000000003</v>
      </c>
      <c r="Q185" s="7">
        <v>-3.4</v>
      </c>
      <c r="R185" s="7">
        <v>78.632999999999996</v>
      </c>
      <c r="S185" s="7">
        <v>13.208542420000001</v>
      </c>
    </row>
    <row r="186" spans="1:19" x14ac:dyDescent="0.3">
      <c r="E186">
        <v>0.72199999999999998</v>
      </c>
      <c r="I186" s="1" t="str">
        <v>Portugal</v>
      </c>
      <c r="J186" s="22">
        <v>0.89</v>
      </c>
      <c r="K186" s="22">
        <v>0.36252203999999999</v>
      </c>
      <c r="L186" s="7">
        <v>10411800</v>
      </c>
      <c r="M186" s="7">
        <v>30873</v>
      </c>
      <c r="N186" s="7">
        <v>41063.92568</v>
      </c>
      <c r="O186" s="7">
        <v>0.36252203999999999</v>
      </c>
      <c r="P186" s="7">
        <v>0.89</v>
      </c>
      <c r="Q186" s="7" t="str">
        <v/>
      </c>
      <c r="R186" s="7">
        <v>82.36</v>
      </c>
      <c r="S186" s="7">
        <v>9.7032544119999997</v>
      </c>
    </row>
    <row r="187" spans="1:19" x14ac:dyDescent="0.3">
      <c r="E187">
        <v>0.95899999999999996</v>
      </c>
      <c r="I187" s="1" t="str">
        <v>Puerto Rico</v>
      </c>
      <c r="J187" s="22" t="str">
        <v/>
      </c>
      <c r="K187" s="22" t="str">
        <v/>
      </c>
      <c r="L187" s="7">
        <v>3235290</v>
      </c>
      <c r="M187" s="7">
        <v>37870</v>
      </c>
      <c r="N187" s="7" t="str">
        <v/>
      </c>
      <c r="O187" s="7" t="str">
        <v/>
      </c>
      <c r="P187" s="7" t="str">
        <v/>
      </c>
      <c r="Q187" s="7" t="str">
        <v/>
      </c>
      <c r="R187" s="7" t="str">
        <v/>
      </c>
      <c r="S187" s="7" t="str">
        <v/>
      </c>
    </row>
    <row r="188" spans="1:19" x14ac:dyDescent="0.3">
      <c r="E188">
        <v>0.97</v>
      </c>
      <c r="I188" s="1" t="str">
        <v>Qatar</v>
      </c>
      <c r="J188" s="22">
        <v>0.88600000000000001</v>
      </c>
      <c r="K188" s="22">
        <v>0.35128385000000001</v>
      </c>
      <c r="L188" s="7">
        <v>3115890</v>
      </c>
      <c r="M188" s="7">
        <v>71497</v>
      </c>
      <c r="N188" s="7">
        <v>105353.268</v>
      </c>
      <c r="O188" s="7">
        <v>0.35128385000000001</v>
      </c>
      <c r="P188" s="7">
        <v>0.88600000000000001</v>
      </c>
      <c r="Q188" s="7">
        <v>-22.3</v>
      </c>
      <c r="R188" s="7">
        <v>82.367999999999995</v>
      </c>
      <c r="S188" s="7">
        <v>10.77000046</v>
      </c>
    </row>
    <row r="189" spans="1:19" x14ac:dyDescent="0.3">
      <c r="E189">
        <v>0.56399999999999995</v>
      </c>
      <c r="I189" s="1" t="str">
        <v>Republic of the Congo</v>
      </c>
      <c r="J189" s="22">
        <v>0.64900000000000002</v>
      </c>
      <c r="K189" s="22">
        <v>0.48937692999999999</v>
      </c>
      <c r="L189" s="7">
        <v>6484440</v>
      </c>
      <c r="M189" s="7">
        <v>2357</v>
      </c>
      <c r="N189" s="7">
        <v>5902.5990659999998</v>
      </c>
      <c r="O189" s="7">
        <v>0.48937692999999999</v>
      </c>
      <c r="P189" s="7">
        <v>0.64900000000000002</v>
      </c>
      <c r="Q189" s="7" t="str">
        <v/>
      </c>
      <c r="R189" s="7">
        <v>65.772000000000006</v>
      </c>
      <c r="S189" s="7">
        <v>8.3226447920000002</v>
      </c>
    </row>
    <row r="190" spans="1:19" x14ac:dyDescent="0.3">
      <c r="E190">
        <v>0.69099999999999995</v>
      </c>
      <c r="I190" s="1" t="str">
        <v>Reunion</v>
      </c>
      <c r="J190" s="22" t="str">
        <v/>
      </c>
      <c r="K190" s="22" t="str">
        <v/>
      </c>
      <c r="L190" s="7" t="str">
        <v/>
      </c>
      <c r="M190" s="7" t="str">
        <v/>
      </c>
      <c r="N190" s="7" t="str">
        <v/>
      </c>
      <c r="O190" s="7" t="str">
        <v/>
      </c>
      <c r="P190" s="7" t="str">
        <v/>
      </c>
      <c r="Q190" s="7" t="str">
        <v/>
      </c>
      <c r="R190" s="7" t="str">
        <v/>
      </c>
      <c r="S190" s="7" t="str">
        <v/>
      </c>
    </row>
    <row r="191" spans="1:19" x14ac:dyDescent="0.3">
      <c r="E191">
        <v>0.55500000000000005</v>
      </c>
      <c r="I191" s="1" t="str">
        <v>Romania</v>
      </c>
      <c r="J191" s="22">
        <v>0.84499999999999997</v>
      </c>
      <c r="K191" s="22">
        <v>0.32303035000000002</v>
      </c>
      <c r="L191" s="7">
        <v>18908600</v>
      </c>
      <c r="M191" s="7">
        <v>21334</v>
      </c>
      <c r="N191" s="7">
        <v>39374.253720000001</v>
      </c>
      <c r="O191" s="7">
        <v>0.32303035000000002</v>
      </c>
      <c r="P191" s="7">
        <v>0.84499999999999997</v>
      </c>
      <c r="Q191" s="7">
        <v>-35.5</v>
      </c>
      <c r="R191" s="7">
        <v>75.938000000000002</v>
      </c>
      <c r="S191" s="7">
        <v>11.55000019</v>
      </c>
    </row>
    <row r="192" spans="1:19" x14ac:dyDescent="0.3">
      <c r="E192">
        <v>0.79800000000000004</v>
      </c>
      <c r="I192" s="1" t="str">
        <v>Russia</v>
      </c>
      <c r="J192" s="22">
        <v>0.83199999999999996</v>
      </c>
      <c r="K192" s="22">
        <v>0.36068243</v>
      </c>
      <c r="L192" s="7">
        <v>143997000</v>
      </c>
      <c r="M192" s="7">
        <v>14420</v>
      </c>
      <c r="N192" s="7">
        <v>39221.683590000001</v>
      </c>
      <c r="O192" s="7">
        <v>0.36068243</v>
      </c>
      <c r="P192" s="7">
        <v>0.83199999999999996</v>
      </c>
      <c r="Q192" s="7" t="str">
        <v/>
      </c>
      <c r="R192" s="7">
        <v>73.153999999999996</v>
      </c>
      <c r="S192" s="7">
        <v>12.40999985</v>
      </c>
    </row>
    <row r="193" spans="5:19" x14ac:dyDescent="0.3">
      <c r="E193">
        <v>0.63400000000000001</v>
      </c>
      <c r="I193" s="1" t="str">
        <v>Rwanda</v>
      </c>
      <c r="J193" s="22">
        <v>0.57799999999999996</v>
      </c>
      <c r="K193" s="22">
        <v>0.43709510000000001</v>
      </c>
      <c r="L193" s="7">
        <v>14569300</v>
      </c>
      <c r="M193" s="7">
        <v>1014</v>
      </c>
      <c r="N193" s="7">
        <v>2970.5594609999998</v>
      </c>
      <c r="O193" s="7">
        <v>0.43709510000000001</v>
      </c>
      <c r="P193" s="7">
        <v>0.57799999999999996</v>
      </c>
      <c r="Q193" s="7" t="str">
        <v/>
      </c>
      <c r="R193" s="7">
        <v>67.784999999999997</v>
      </c>
      <c r="S193" s="7">
        <v>4.8800001140000004</v>
      </c>
    </row>
    <row r="194" spans="5:19" x14ac:dyDescent="0.3">
      <c r="E194">
        <v>0.57099999999999995</v>
      </c>
      <c r="I194" s="1" t="str">
        <v>Saint Barthelemy</v>
      </c>
      <c r="J194" s="22" t="str">
        <v/>
      </c>
      <c r="K194" s="22" t="str">
        <v/>
      </c>
      <c r="L194" s="7" t="str">
        <v/>
      </c>
      <c r="M194" s="7" t="str">
        <v/>
      </c>
      <c r="N194" s="7" t="str">
        <v/>
      </c>
      <c r="O194" s="7" t="str">
        <v/>
      </c>
      <c r="P194" s="7" t="str">
        <v/>
      </c>
      <c r="Q194" s="7" t="str">
        <v/>
      </c>
      <c r="R194" s="7" t="str">
        <v/>
      </c>
      <c r="S194" s="7" t="str">
        <v/>
      </c>
    </row>
    <row r="195" spans="5:19" x14ac:dyDescent="0.3">
      <c r="E195">
        <v>0.76900000000000002</v>
      </c>
      <c r="I195" s="1" t="str">
        <v>Saint Kitts and Nevis</v>
      </c>
      <c r="J195" s="22">
        <v>0.84</v>
      </c>
      <c r="K195" s="22" t="str">
        <v/>
      </c>
      <c r="L195" s="7">
        <v>46922</v>
      </c>
      <c r="M195" s="7">
        <v>24061</v>
      </c>
      <c r="N195" s="7">
        <v>29105.437430000002</v>
      </c>
      <c r="O195" s="7" t="str">
        <v/>
      </c>
      <c r="P195" s="7">
        <v>0.84</v>
      </c>
      <c r="Q195" s="7" t="str">
        <v/>
      </c>
      <c r="R195" s="7">
        <v>72.144999999999996</v>
      </c>
      <c r="S195" s="7">
        <v>10.8494008</v>
      </c>
    </row>
    <row r="196" spans="5:19" x14ac:dyDescent="0.3">
      <c r="E196">
        <v>0.80700000000000005</v>
      </c>
      <c r="I196" s="1" t="str">
        <v>Saint Lucia</v>
      </c>
      <c r="J196" s="22">
        <v>0.748</v>
      </c>
      <c r="K196" s="22">
        <v>0.51225065999999997</v>
      </c>
      <c r="L196" s="7">
        <v>180149</v>
      </c>
      <c r="M196" s="7">
        <v>14610</v>
      </c>
      <c r="N196" s="7">
        <v>20899.781930000001</v>
      </c>
      <c r="O196" s="7">
        <v>0.51225065999999997</v>
      </c>
      <c r="P196" s="7">
        <v>0.748</v>
      </c>
      <c r="Q196" s="7" t="str">
        <v/>
      </c>
      <c r="R196" s="7">
        <v>72.697000000000003</v>
      </c>
      <c r="S196" s="7">
        <v>8.6141670549999994</v>
      </c>
    </row>
    <row r="197" spans="5:19" x14ac:dyDescent="0.3">
      <c r="E197">
        <v>0.746</v>
      </c>
      <c r="I197" s="1" t="str">
        <v>Saint Martin</v>
      </c>
      <c r="J197" s="22" t="str">
        <v/>
      </c>
      <c r="K197" s="22" t="str">
        <v/>
      </c>
      <c r="L197" s="7" t="str">
        <v/>
      </c>
      <c r="M197" s="7" t="str">
        <v/>
      </c>
      <c r="N197" s="7" t="str">
        <v/>
      </c>
      <c r="O197" s="7" t="str">
        <v/>
      </c>
      <c r="P197" s="7" t="str">
        <v/>
      </c>
      <c r="Q197" s="7" t="str">
        <v/>
      </c>
      <c r="R197" s="7" t="str">
        <v/>
      </c>
      <c r="S197" s="7" t="str">
        <v/>
      </c>
    </row>
    <row r="198" spans="5:19" x14ac:dyDescent="0.3">
      <c r="E198">
        <v>0.85299999999999998</v>
      </c>
      <c r="I198" s="1" t="str">
        <v>Saint Pierre and Miquelon</v>
      </c>
      <c r="J198" s="22" t="str">
        <v/>
      </c>
      <c r="K198" s="22" t="str">
        <v/>
      </c>
      <c r="L198" s="7" t="str">
        <v/>
      </c>
      <c r="M198" s="7" t="str">
        <v/>
      </c>
      <c r="N198" s="7" t="str">
        <v/>
      </c>
      <c r="O198" s="7" t="str">
        <v/>
      </c>
      <c r="P198" s="7" t="str">
        <v/>
      </c>
      <c r="Q198" s="7" t="str">
        <v/>
      </c>
      <c r="R198" s="7" t="str">
        <v/>
      </c>
      <c r="S198" s="7" t="str">
        <v/>
      </c>
    </row>
    <row r="199" spans="5:19" x14ac:dyDescent="0.3">
      <c r="E199">
        <v>0.76400000000000001</v>
      </c>
      <c r="I199" s="1" t="str">
        <v>Saint Vincent and the Grenadines</v>
      </c>
      <c r="J199" s="22">
        <v>0.79800000000000004</v>
      </c>
      <c r="K199" s="22" t="str">
        <v/>
      </c>
      <c r="L199" s="7">
        <v>99924</v>
      </c>
      <c r="M199" s="7">
        <v>12429</v>
      </c>
      <c r="N199" s="7">
        <v>17246.63609</v>
      </c>
      <c r="O199" s="7" t="str">
        <v/>
      </c>
      <c r="P199" s="7">
        <v>0.79800000000000004</v>
      </c>
      <c r="Q199" s="7" t="str">
        <v/>
      </c>
      <c r="R199" s="7">
        <v>71.23</v>
      </c>
      <c r="S199" s="7">
        <v>11.295349679999999</v>
      </c>
    </row>
    <row r="200" spans="5:19" x14ac:dyDescent="0.3">
      <c r="E200">
        <v>0.68899999999999995</v>
      </c>
      <c r="I200" s="1" t="str">
        <v>Samoa</v>
      </c>
      <c r="J200" s="22">
        <v>0.70799999999999996</v>
      </c>
      <c r="K200" s="22">
        <v>0.38743453999999999</v>
      </c>
      <c r="L200" s="7">
        <v>219306</v>
      </c>
      <c r="M200" s="7">
        <v>5289</v>
      </c>
      <c r="N200" s="7">
        <v>5952.0169249999999</v>
      </c>
      <c r="O200" s="7">
        <v>0.38743453999999999</v>
      </c>
      <c r="P200" s="7">
        <v>0.70799999999999996</v>
      </c>
      <c r="Q200" s="7" t="str">
        <v/>
      </c>
      <c r="R200" s="7">
        <v>71.697999999999993</v>
      </c>
      <c r="S200" s="7">
        <v>11.332983609999999</v>
      </c>
    </row>
    <row r="201" spans="5:19" x14ac:dyDescent="0.3">
      <c r="E201">
        <v>0.58199999999999996</v>
      </c>
      <c r="I201" s="1" t="str">
        <v>San Marino</v>
      </c>
      <c r="J201" s="22">
        <v>0.91500000000000004</v>
      </c>
      <c r="K201" s="22" t="str">
        <v/>
      </c>
      <c r="L201" s="7">
        <v>33572</v>
      </c>
      <c r="M201" s="7">
        <v>60973</v>
      </c>
      <c r="N201" s="7">
        <v>64706.37558</v>
      </c>
      <c r="O201" s="7" t="str">
        <v/>
      </c>
      <c r="P201" s="7">
        <v>0.91500000000000004</v>
      </c>
      <c r="Q201" s="7" t="str">
        <v/>
      </c>
      <c r="R201" s="7">
        <v>85.706000000000003</v>
      </c>
      <c r="S201" s="7">
        <v>11.35999966</v>
      </c>
    </row>
    <row r="202" spans="5:19" x14ac:dyDescent="0.3">
      <c r="E202">
        <v>0.77900000000000003</v>
      </c>
      <c r="I202" s="1" t="str">
        <v>Sao Tome and Principe</v>
      </c>
      <c r="J202" s="22">
        <v>0.63700000000000001</v>
      </c>
      <c r="K202" s="22">
        <v>0.40729480000000001</v>
      </c>
      <c r="L202" s="7">
        <v>240254</v>
      </c>
      <c r="M202" s="7">
        <v>3596</v>
      </c>
      <c r="N202" s="7">
        <v>5583.4233350000004</v>
      </c>
      <c r="O202" s="7">
        <v>0.40729480000000001</v>
      </c>
      <c r="P202" s="7">
        <v>0.63700000000000001</v>
      </c>
      <c r="Q202" s="7" t="str">
        <v/>
      </c>
      <c r="R202" s="7">
        <v>69.718000000000004</v>
      </c>
      <c r="S202" s="7">
        <v>5.9875591750000003</v>
      </c>
    </row>
    <row r="203" spans="5:19" x14ac:dyDescent="0.3">
      <c r="E203">
        <v>0.94</v>
      </c>
      <c r="I203" s="1" t="str">
        <v>Saudi Arabia</v>
      </c>
      <c r="J203" s="22">
        <v>0.9</v>
      </c>
      <c r="K203" s="22" t="str">
        <v/>
      </c>
      <c r="L203" s="7">
        <v>34566300</v>
      </c>
      <c r="M203" s="7">
        <v>31353</v>
      </c>
      <c r="N203" s="7">
        <v>50298.913630000003</v>
      </c>
      <c r="O203" s="7" t="str">
        <v/>
      </c>
      <c r="P203" s="7">
        <v>0.9</v>
      </c>
      <c r="Q203" s="7">
        <v>-15.7</v>
      </c>
      <c r="R203" s="7">
        <v>78.731999999999999</v>
      </c>
      <c r="S203" s="7">
        <v>11.606427780000001</v>
      </c>
    </row>
    <row r="204" spans="5:19" x14ac:dyDescent="0.3">
      <c r="E204">
        <v>0.94599999999999995</v>
      </c>
      <c r="I204" s="1" t="str">
        <v>Senegal</v>
      </c>
      <c r="J204" s="22">
        <v>0.53</v>
      </c>
      <c r="K204" s="22">
        <v>0.36157719999999999</v>
      </c>
      <c r="L204" s="7">
        <v>18932000</v>
      </c>
      <c r="M204" s="7">
        <v>1834</v>
      </c>
      <c r="N204" s="7">
        <v>4202.0307290000001</v>
      </c>
      <c r="O204" s="7">
        <v>0.36157719999999999</v>
      </c>
      <c r="P204" s="7">
        <v>0.53</v>
      </c>
      <c r="Q204" s="7" t="str">
        <v/>
      </c>
      <c r="R204" s="7">
        <v>68.683000000000007</v>
      </c>
      <c r="S204" s="7">
        <v>2.934554012</v>
      </c>
    </row>
    <row r="205" spans="5:19" x14ac:dyDescent="0.3">
      <c r="E205">
        <v>0.93799999999999994</v>
      </c>
      <c r="I205" s="1" t="str">
        <v>Serbia</v>
      </c>
      <c r="J205" s="22">
        <v>0.83299999999999996</v>
      </c>
      <c r="K205" s="22">
        <v>0.32802890000000001</v>
      </c>
      <c r="L205" s="7">
        <v>6689040</v>
      </c>
      <c r="M205" s="7">
        <v>13836</v>
      </c>
      <c r="N205" s="7">
        <v>23114.809529999999</v>
      </c>
      <c r="O205" s="7">
        <v>0.32802890000000001</v>
      </c>
      <c r="P205" s="7">
        <v>0.83299999999999996</v>
      </c>
      <c r="Q205" s="7" t="str">
        <v/>
      </c>
      <c r="R205" s="7">
        <v>76.769000000000005</v>
      </c>
      <c r="S205" s="7">
        <v>11.64171812</v>
      </c>
    </row>
    <row r="206" spans="5:19" x14ac:dyDescent="0.3">
      <c r="E206">
        <v>0.86199999999999999</v>
      </c>
      <c r="I206" s="1" t="str">
        <v>Seychelles</v>
      </c>
      <c r="J206" s="22">
        <v>0.84799999999999998</v>
      </c>
      <c r="K206" s="22">
        <v>0.32125320000000002</v>
      </c>
      <c r="L206" s="7">
        <v>132779</v>
      </c>
      <c r="M206" s="7">
        <v>16554</v>
      </c>
      <c r="N206" s="7">
        <v>29195.037919999999</v>
      </c>
      <c r="O206" s="7">
        <v>0.32125320000000002</v>
      </c>
      <c r="P206" s="7">
        <v>0.84799999999999998</v>
      </c>
      <c r="Q206" s="7" t="str">
        <v/>
      </c>
      <c r="R206" s="7">
        <v>72.861999999999995</v>
      </c>
      <c r="S206" s="7">
        <v>11.199949999999999</v>
      </c>
    </row>
    <row r="207" spans="5:19" x14ac:dyDescent="0.3">
      <c r="E207">
        <v>0.74</v>
      </c>
      <c r="I207" s="1" t="str">
        <v>Sierra Leone</v>
      </c>
      <c r="J207" s="22">
        <v>0.46700000000000003</v>
      </c>
      <c r="K207" s="22">
        <v>0.35690176000000001</v>
      </c>
      <c r="L207" s="7">
        <v>8819790</v>
      </c>
      <c r="M207" s="7">
        <v>951</v>
      </c>
      <c r="N207" s="7">
        <v>1713.727772</v>
      </c>
      <c r="O207" s="7">
        <v>0.35690176000000001</v>
      </c>
      <c r="P207" s="7">
        <v>0.46700000000000003</v>
      </c>
      <c r="Q207" s="7" t="str">
        <v/>
      </c>
      <c r="R207" s="7">
        <v>61.786000000000001</v>
      </c>
      <c r="S207" s="7">
        <v>3.5352976090000001</v>
      </c>
    </row>
    <row r="208" spans="5:19" x14ac:dyDescent="0.3">
      <c r="E208">
        <v>0.621</v>
      </c>
      <c r="I208" s="1" t="str">
        <v>Singapore</v>
      </c>
      <c r="J208" s="22">
        <v>0.94599999999999995</v>
      </c>
      <c r="K208" s="22" t="str">
        <v/>
      </c>
      <c r="L208" s="7">
        <v>5870750</v>
      </c>
      <c r="M208" s="7">
        <v>96201</v>
      </c>
      <c r="N208" s="7">
        <v>111239.2291</v>
      </c>
      <c r="O208" s="7" t="str">
        <v/>
      </c>
      <c r="P208" s="7">
        <v>0.94599999999999995</v>
      </c>
      <c r="Q208" s="7">
        <v>-10</v>
      </c>
      <c r="R208" s="7">
        <v>83.736000000000004</v>
      </c>
      <c r="S208" s="7">
        <v>11.989999770000001</v>
      </c>
    </row>
    <row r="209" spans="5:19" x14ac:dyDescent="0.3">
      <c r="E209">
        <v>0.70899999999999996</v>
      </c>
      <c r="I209" s="1" t="str">
        <v>Sint Maarten</v>
      </c>
      <c r="J209" s="22" t="str">
        <v/>
      </c>
      <c r="K209" s="22" t="str">
        <v/>
      </c>
      <c r="L209" s="7">
        <v>43923</v>
      </c>
      <c r="M209" s="7">
        <v>38188</v>
      </c>
      <c r="N209" s="7" t="str">
        <v/>
      </c>
      <c r="O209" s="7" t="str">
        <v/>
      </c>
      <c r="P209" s="7" t="str">
        <v/>
      </c>
      <c r="Q209" s="7" t="str">
        <v/>
      </c>
      <c r="R209" s="7" t="str">
        <v/>
      </c>
      <c r="S209" s="7" t="str">
        <v/>
      </c>
    </row>
    <row r="210" spans="5:19" x14ac:dyDescent="0.3">
      <c r="E210">
        <v>0.76600000000000001</v>
      </c>
      <c r="I210" s="1" t="str">
        <v>Slovakia</v>
      </c>
      <c r="J210" s="22">
        <v>0.88</v>
      </c>
      <c r="K210" s="22">
        <v>0.24078926</v>
      </c>
      <c r="L210" s="7">
        <v>5474880</v>
      </c>
      <c r="M210" s="7">
        <v>26856</v>
      </c>
      <c r="N210" s="7">
        <v>36792.988740000001</v>
      </c>
      <c r="O210" s="7">
        <v>0.24078926</v>
      </c>
      <c r="P210" s="7">
        <v>0.88</v>
      </c>
      <c r="Q210" s="7" t="str">
        <v/>
      </c>
      <c r="R210" s="7">
        <v>78.340999999999994</v>
      </c>
      <c r="S210" s="7">
        <v>13.103203969999999</v>
      </c>
    </row>
    <row r="211" spans="5:19" x14ac:dyDescent="0.3">
      <c r="E211">
        <v>0.47</v>
      </c>
      <c r="I211" s="1" t="str">
        <v>Slovenia</v>
      </c>
      <c r="J211" s="22">
        <v>0.93100000000000005</v>
      </c>
      <c r="K211" s="22">
        <v>0.24305065000000001</v>
      </c>
      <c r="L211" s="7">
        <v>2117070</v>
      </c>
      <c r="M211" s="7">
        <v>35532</v>
      </c>
      <c r="N211" s="7">
        <v>46360.807789999999</v>
      </c>
      <c r="O211" s="7">
        <v>0.24305065000000001</v>
      </c>
      <c r="P211" s="7">
        <v>0.93100000000000005</v>
      </c>
      <c r="Q211" s="7" t="str">
        <v/>
      </c>
      <c r="R211" s="7">
        <v>81.602999999999994</v>
      </c>
      <c r="S211" s="7">
        <v>12.951201920000001</v>
      </c>
    </row>
    <row r="212" spans="5:19" x14ac:dyDescent="0.3">
      <c r="E212">
        <v>0.59499999999999997</v>
      </c>
      <c r="I212" s="1" t="str">
        <v>Solomon Islands</v>
      </c>
      <c r="J212" s="22">
        <v>0.58399999999999996</v>
      </c>
      <c r="K212" s="22">
        <v>0.37054925999999999</v>
      </c>
      <c r="L212" s="7">
        <v>838645</v>
      </c>
      <c r="M212" s="7">
        <v>2263</v>
      </c>
      <c r="N212" s="7">
        <v>2777.2667489999999</v>
      </c>
      <c r="O212" s="7">
        <v>0.37054925999999999</v>
      </c>
      <c r="P212" s="7">
        <v>0.58399999999999996</v>
      </c>
      <c r="Q212" s="7" t="str">
        <v/>
      </c>
      <c r="R212" s="7">
        <v>70.528000000000006</v>
      </c>
      <c r="S212" s="7">
        <v>5.8796802000000001</v>
      </c>
    </row>
    <row r="213" spans="5:19" x14ac:dyDescent="0.3">
      <c r="E213">
        <v>0.59799999999999998</v>
      </c>
      <c r="I213" s="1" t="str">
        <v>Somalia</v>
      </c>
      <c r="J213" s="22">
        <v>0.40400000000000003</v>
      </c>
      <c r="K213" s="22" t="str">
        <v/>
      </c>
      <c r="L213" s="7">
        <v>19654700</v>
      </c>
      <c r="M213" s="7">
        <v>661</v>
      </c>
      <c r="N213" s="7">
        <v>1474.7384589999999</v>
      </c>
      <c r="O213" s="7" t="str">
        <v/>
      </c>
      <c r="P213" s="7">
        <v>0.40400000000000003</v>
      </c>
      <c r="Q213" s="7" t="str">
        <v/>
      </c>
      <c r="R213" s="7">
        <v>58.816000000000003</v>
      </c>
      <c r="S213" s="7">
        <v>1.8999999759999999</v>
      </c>
    </row>
    <row r="214" spans="5:19" x14ac:dyDescent="0.3">
      <c r="I214" s="1" t="str">
        <v>South Africa</v>
      </c>
      <c r="J214" s="22">
        <v>0.74099999999999999</v>
      </c>
      <c r="K214" s="22">
        <v>0.63025719999999996</v>
      </c>
      <c r="L214" s="7">
        <v>64747300</v>
      </c>
      <c r="M214" s="7">
        <v>6338</v>
      </c>
      <c r="N214" s="7">
        <v>13693.988579999999</v>
      </c>
      <c r="O214" s="7">
        <v>0.63025719999999996</v>
      </c>
      <c r="P214" s="7">
        <v>0.74099999999999999</v>
      </c>
      <c r="Q214" s="7">
        <v>-49.8</v>
      </c>
      <c r="R214" s="7">
        <v>66.138999999999996</v>
      </c>
      <c r="S214" s="7">
        <v>11.60999966</v>
      </c>
    </row>
    <row r="215" spans="5:19" x14ac:dyDescent="0.3">
      <c r="I215" s="1" t="str">
        <v>South Korea</v>
      </c>
      <c r="J215" s="22">
        <v>0.93700000000000006</v>
      </c>
      <c r="K215" s="22">
        <v>0.32906574</v>
      </c>
      <c r="L215" s="7">
        <v>51667000</v>
      </c>
      <c r="M215" s="7">
        <v>34651</v>
      </c>
      <c r="N215" s="7">
        <v>49726.453269999998</v>
      </c>
      <c r="O215" s="7">
        <v>0.32906574</v>
      </c>
      <c r="P215" s="7">
        <v>0.93700000000000006</v>
      </c>
      <c r="Q215" s="7">
        <v>-33.700000000000003</v>
      </c>
      <c r="R215" s="7">
        <v>84.328999999999994</v>
      </c>
      <c r="S215" s="7">
        <v>12.722198690000001</v>
      </c>
    </row>
    <row r="216" spans="5:19" x14ac:dyDescent="0.3">
      <c r="I216" s="1" t="str">
        <v>South Sudan</v>
      </c>
      <c r="J216" s="22">
        <v>0.38800000000000001</v>
      </c>
      <c r="K216" s="22">
        <v>0.44047811999999997</v>
      </c>
      <c r="L216" s="7">
        <v>12188800</v>
      </c>
      <c r="M216" s="7">
        <v>328</v>
      </c>
      <c r="N216" s="7">
        <v>688.34727710000004</v>
      </c>
      <c r="O216" s="7">
        <v>0.44047811999999997</v>
      </c>
      <c r="P216" s="7">
        <v>0.38800000000000001</v>
      </c>
      <c r="Q216" s="7" t="str">
        <v/>
      </c>
      <c r="R216" s="7">
        <v>57.616999999999997</v>
      </c>
      <c r="S216" s="7">
        <v>5.7300000190000002</v>
      </c>
    </row>
    <row r="217" spans="5:19" x14ac:dyDescent="0.3">
      <c r="I217" s="1" t="str">
        <v>Spain</v>
      </c>
      <c r="J217" s="22">
        <v>0.91800000000000004</v>
      </c>
      <c r="K217" s="22">
        <v>0.33579419999999999</v>
      </c>
      <c r="L217" s="7">
        <v>47890000</v>
      </c>
      <c r="M217" s="7">
        <v>37576</v>
      </c>
      <c r="N217" s="7">
        <v>46008.442210000001</v>
      </c>
      <c r="O217" s="7">
        <v>0.33579419999999999</v>
      </c>
      <c r="P217" s="7">
        <v>0.91800000000000004</v>
      </c>
      <c r="Q217" s="7" t="str">
        <v/>
      </c>
      <c r="R217" s="7">
        <v>83.67</v>
      </c>
      <c r="S217" s="7">
        <v>10.75612495</v>
      </c>
    </row>
    <row r="218" spans="5:19" x14ac:dyDescent="0.3">
      <c r="I218" s="1" t="str">
        <v>Sri Lanka</v>
      </c>
      <c r="J218" s="22">
        <v>0.77600000000000002</v>
      </c>
      <c r="K218" s="22">
        <v>0.37663775999999999</v>
      </c>
      <c r="L218" s="7">
        <v>23229500</v>
      </c>
      <c r="M218" s="7">
        <v>3632</v>
      </c>
      <c r="N218" s="7">
        <v>12615.60045</v>
      </c>
      <c r="O218" s="7">
        <v>0.37663775999999999</v>
      </c>
      <c r="P218" s="7">
        <v>0.77600000000000002</v>
      </c>
      <c r="Q218" s="7" t="str">
        <v/>
      </c>
      <c r="R218" s="7">
        <v>77.483000000000004</v>
      </c>
      <c r="S218" s="7">
        <v>10.77000046</v>
      </c>
    </row>
    <row r="219" spans="5:19" x14ac:dyDescent="0.3">
      <c r="I219" s="1" t="str">
        <v>Sudan</v>
      </c>
      <c r="J219" s="22">
        <v>0.51100000000000001</v>
      </c>
      <c r="K219" s="22">
        <v>0.34242942999999998</v>
      </c>
      <c r="L219" s="7">
        <v>51662100</v>
      </c>
      <c r="M219" s="7">
        <v>610</v>
      </c>
      <c r="N219" s="7">
        <v>2810.3120119999999</v>
      </c>
      <c r="O219" s="7">
        <v>0.34242942999999998</v>
      </c>
      <c r="P219" s="7">
        <v>0.51100000000000001</v>
      </c>
      <c r="Q219" s="7" t="str">
        <v/>
      </c>
      <c r="R219" s="7">
        <v>66.331000000000003</v>
      </c>
      <c r="S219" s="7">
        <v>3.9620000000000002</v>
      </c>
    </row>
    <row r="220" spans="5:19" x14ac:dyDescent="0.3">
      <c r="I220" s="1" t="str">
        <v>Suriname</v>
      </c>
      <c r="J220" s="22">
        <v>0.72199999999999998</v>
      </c>
      <c r="K220" s="22">
        <v>0.39179897000000002</v>
      </c>
      <c r="L220" s="7">
        <v>639850</v>
      </c>
      <c r="M220" s="7">
        <v>7042</v>
      </c>
      <c r="N220" s="7">
        <v>17344.386910000001</v>
      </c>
      <c r="O220" s="7">
        <v>0.39179897000000002</v>
      </c>
      <c r="P220" s="7">
        <v>0.72199999999999998</v>
      </c>
      <c r="Q220" s="7" t="str">
        <v/>
      </c>
      <c r="R220" s="7">
        <v>73.631</v>
      </c>
      <c r="S220" s="7">
        <v>8.4297595820000009</v>
      </c>
    </row>
    <row r="221" spans="5:19" x14ac:dyDescent="0.3">
      <c r="I221" s="1" t="str">
        <v>Sweden</v>
      </c>
      <c r="J221" s="22">
        <v>0.95899999999999996</v>
      </c>
      <c r="K221" s="22">
        <v>0.31608360000000002</v>
      </c>
      <c r="L221" s="7">
        <v>10656600</v>
      </c>
      <c r="M221" s="7">
        <v>58208</v>
      </c>
      <c r="N221" s="7">
        <v>66102.085949999993</v>
      </c>
      <c r="O221" s="7">
        <v>0.31608360000000002</v>
      </c>
      <c r="P221" s="7">
        <v>0.95899999999999996</v>
      </c>
      <c r="Q221" s="7">
        <v>21.8</v>
      </c>
      <c r="R221" s="7">
        <v>83.262</v>
      </c>
      <c r="S221" s="7">
        <v>12.740325739999999</v>
      </c>
    </row>
    <row r="222" spans="5:19" x14ac:dyDescent="0.3">
      <c r="I222" s="1" t="str">
        <v>Switzerland</v>
      </c>
      <c r="J222" s="22">
        <v>0.97</v>
      </c>
      <c r="K222" s="22">
        <v>0.33824313</v>
      </c>
      <c r="L222" s="7">
        <v>8967410</v>
      </c>
      <c r="M222" s="7">
        <v>105619</v>
      </c>
      <c r="N222" s="7">
        <v>81948.901769999997</v>
      </c>
      <c r="O222" s="7">
        <v>0.33824313</v>
      </c>
      <c r="P222" s="7">
        <v>0.97</v>
      </c>
      <c r="Q222" s="7">
        <v>49.6</v>
      </c>
      <c r="R222" s="7">
        <v>83.953999999999994</v>
      </c>
      <c r="S222" s="7">
        <v>13.94912109</v>
      </c>
    </row>
    <row r="223" spans="5:19" x14ac:dyDescent="0.3">
      <c r="I223" s="1" t="str">
        <v>Syria</v>
      </c>
      <c r="J223" s="22">
        <v>0.56399999999999995</v>
      </c>
      <c r="K223" s="22">
        <v>0.26628074000000002</v>
      </c>
      <c r="L223" s="7">
        <v>25620400</v>
      </c>
      <c r="M223" s="7">
        <v>1133</v>
      </c>
      <c r="N223" s="7">
        <v>3917.702385</v>
      </c>
      <c r="O223" s="7">
        <v>0.26628074000000002</v>
      </c>
      <c r="P223" s="7">
        <v>0.56399999999999995</v>
      </c>
      <c r="Q223" s="7" t="str">
        <v/>
      </c>
      <c r="R223" s="7">
        <v>72.12</v>
      </c>
      <c r="S223" s="7">
        <v>5.9355200620000002</v>
      </c>
    </row>
    <row r="224" spans="5:19" x14ac:dyDescent="0.3">
      <c r="I224" s="1" t="str">
        <v>Taiwan</v>
      </c>
      <c r="J224" s="22" t="str">
        <v/>
      </c>
      <c r="K224" s="22">
        <v>0.31566375000000002</v>
      </c>
      <c r="L224" s="7">
        <v>23112800</v>
      </c>
      <c r="M224" s="7">
        <v>34824</v>
      </c>
      <c r="N224" s="7" t="str">
        <v/>
      </c>
      <c r="O224" s="7">
        <v>0.31566375000000002</v>
      </c>
      <c r="P224" s="7" t="str">
        <v/>
      </c>
      <c r="Q224" s="7">
        <v>-55.7</v>
      </c>
      <c r="R224" s="7" t="str">
        <v/>
      </c>
      <c r="S224" s="7" t="str">
        <v/>
      </c>
    </row>
    <row r="225" spans="9:19" x14ac:dyDescent="0.3">
      <c r="I225" s="1" t="str">
        <v>Tajikistan</v>
      </c>
      <c r="J225" s="22">
        <v>0.69099999999999995</v>
      </c>
      <c r="K225" s="22">
        <v>0.33995535999999998</v>
      </c>
      <c r="L225" s="7">
        <v>10786700</v>
      </c>
      <c r="M225" s="7">
        <v>1375</v>
      </c>
      <c r="N225" s="7">
        <v>5746.5689689999999</v>
      </c>
      <c r="O225" s="7">
        <v>0.33995535999999998</v>
      </c>
      <c r="P225" s="7">
        <v>0.69099999999999995</v>
      </c>
      <c r="Q225" s="7" t="str">
        <v/>
      </c>
      <c r="R225" s="7">
        <v>71.790000000000006</v>
      </c>
      <c r="S225" s="7">
        <v>11.27094825</v>
      </c>
    </row>
    <row r="226" spans="9:19" x14ac:dyDescent="0.3">
      <c r="I226" s="1" t="str">
        <v>Tanzania</v>
      </c>
      <c r="J226" s="22">
        <v>0.55500000000000005</v>
      </c>
      <c r="K226" s="22">
        <v>0.4049123</v>
      </c>
      <c r="L226" s="7">
        <v>70545900</v>
      </c>
      <c r="M226" s="7">
        <v>1219</v>
      </c>
      <c r="N226" s="7">
        <v>3514.632861</v>
      </c>
      <c r="O226" s="7">
        <v>0.4049123</v>
      </c>
      <c r="P226" s="7">
        <v>0.55500000000000005</v>
      </c>
      <c r="Q226" s="7" t="str">
        <v/>
      </c>
      <c r="R226" s="7">
        <v>66.995000000000005</v>
      </c>
      <c r="S226" s="7">
        <v>6.0653500559999998</v>
      </c>
    </row>
    <row r="227" spans="9:19" x14ac:dyDescent="0.3">
      <c r="I227" s="1" t="str">
        <v>Thailand</v>
      </c>
      <c r="J227" s="22">
        <v>0.79800000000000004</v>
      </c>
      <c r="K227" s="22">
        <v>0.33494889999999999</v>
      </c>
      <c r="L227" s="7">
        <v>71619900</v>
      </c>
      <c r="M227" s="7">
        <v>7627</v>
      </c>
      <c r="N227" s="7">
        <v>20569.901760000001</v>
      </c>
      <c r="O227" s="7">
        <v>0.33494889999999999</v>
      </c>
      <c r="P227" s="7">
        <v>0.79800000000000004</v>
      </c>
      <c r="Q227" s="7">
        <v>-30.7</v>
      </c>
      <c r="R227" s="7">
        <v>76.412000000000006</v>
      </c>
      <c r="S227" s="7">
        <v>9.0399999619999996</v>
      </c>
    </row>
    <row r="228" spans="9:19" x14ac:dyDescent="0.3">
      <c r="I228" s="1" t="str">
        <v>Timor-Leste</v>
      </c>
      <c r="J228" s="22">
        <v>0.63400000000000001</v>
      </c>
      <c r="K228" s="22">
        <v>0.28652927</v>
      </c>
      <c r="L228" s="7">
        <v>1418520</v>
      </c>
      <c r="M228" s="7">
        <v>1491</v>
      </c>
      <c r="N228" s="7">
        <v>5434.5946919999997</v>
      </c>
      <c r="O228" s="7">
        <v>0.28652927</v>
      </c>
      <c r="P228" s="7">
        <v>0.63400000000000001</v>
      </c>
      <c r="Q228" s="7" t="str">
        <v/>
      </c>
      <c r="R228" s="7">
        <v>67.688999999999993</v>
      </c>
      <c r="S228" s="7">
        <v>6.2265805509999996</v>
      </c>
    </row>
    <row r="229" spans="9:19" x14ac:dyDescent="0.3">
      <c r="I229" s="1" t="str">
        <v>Togo</v>
      </c>
      <c r="J229" s="22">
        <v>0.57099999999999995</v>
      </c>
      <c r="K229" s="22">
        <v>0.37858006</v>
      </c>
      <c r="L229" s="7">
        <v>9721610</v>
      </c>
      <c r="M229" s="7">
        <v>1031</v>
      </c>
      <c r="N229" s="7">
        <v>2855.9638279999999</v>
      </c>
      <c r="O229" s="7">
        <v>0.37858006</v>
      </c>
      <c r="P229" s="7">
        <v>0.57099999999999995</v>
      </c>
      <c r="Q229" s="7" t="str">
        <v/>
      </c>
      <c r="R229" s="7">
        <v>62.738999999999997</v>
      </c>
      <c r="S229" s="7">
        <v>5.8611146190000003</v>
      </c>
    </row>
    <row r="230" spans="9:19" x14ac:dyDescent="0.3">
      <c r="I230" s="1" t="str">
        <v>Tokelau</v>
      </c>
      <c r="J230" s="22" t="str">
        <v/>
      </c>
      <c r="K230" s="22" t="str">
        <v/>
      </c>
      <c r="L230" s="7" t="str">
        <v/>
      </c>
      <c r="M230" s="7" t="str">
        <v/>
      </c>
      <c r="N230" s="7" t="str">
        <v/>
      </c>
      <c r="O230" s="7" t="str">
        <v/>
      </c>
      <c r="P230" s="7" t="str">
        <v/>
      </c>
      <c r="Q230" s="7" t="str">
        <v/>
      </c>
      <c r="R230" s="7" t="str">
        <v/>
      </c>
      <c r="S230" s="7" t="str">
        <v/>
      </c>
    </row>
    <row r="231" spans="9:19" x14ac:dyDescent="0.3">
      <c r="I231" s="1" t="str">
        <v>Tonga</v>
      </c>
      <c r="J231" s="22">
        <v>0.76900000000000002</v>
      </c>
      <c r="K231" s="22">
        <v>0.27095764999999999</v>
      </c>
      <c r="L231" s="7">
        <v>103742</v>
      </c>
      <c r="M231" s="7">
        <v>5475</v>
      </c>
      <c r="N231" s="7">
        <v>7438.2100920000003</v>
      </c>
      <c r="O231" s="7">
        <v>0.27095764999999999</v>
      </c>
      <c r="P231" s="7">
        <v>0.76900000000000002</v>
      </c>
      <c r="Q231" s="7" t="str">
        <v/>
      </c>
      <c r="R231" s="7">
        <v>72.894999999999996</v>
      </c>
      <c r="S231" s="7">
        <v>10.914948949999999</v>
      </c>
    </row>
    <row r="232" spans="9:19" x14ac:dyDescent="0.3">
      <c r="I232" s="1" t="str">
        <v>Trinidad and Tobago</v>
      </c>
      <c r="J232" s="22">
        <v>0.80700000000000005</v>
      </c>
      <c r="K232" s="22" t="str">
        <v/>
      </c>
      <c r="L232" s="7">
        <v>1511160</v>
      </c>
      <c r="M232" s="7">
        <v>17514</v>
      </c>
      <c r="N232" s="7">
        <v>27000.145110000001</v>
      </c>
      <c r="O232" s="7" t="str">
        <v/>
      </c>
      <c r="P232" s="7">
        <v>0.80700000000000005</v>
      </c>
      <c r="Q232" s="7" t="str">
        <v/>
      </c>
      <c r="R232" s="7">
        <v>73.489999999999995</v>
      </c>
      <c r="S232" s="7">
        <v>10.792750359999999</v>
      </c>
    </row>
    <row r="233" spans="9:19" x14ac:dyDescent="0.3">
      <c r="I233" s="1" t="str">
        <v>Tunisia</v>
      </c>
      <c r="J233" s="22">
        <v>0.746</v>
      </c>
      <c r="K233" s="22">
        <v>0.33716425</v>
      </c>
      <c r="L233" s="7">
        <v>12348600</v>
      </c>
      <c r="M233" s="7">
        <v>4558</v>
      </c>
      <c r="N233" s="7">
        <v>12011.387849999999</v>
      </c>
      <c r="O233" s="7">
        <v>0.33716425</v>
      </c>
      <c r="P233" s="7">
        <v>0.746</v>
      </c>
      <c r="Q233" s="7" t="str">
        <v/>
      </c>
      <c r="R233" s="7">
        <v>76.507999999999996</v>
      </c>
      <c r="S233" s="7">
        <v>7.5949201579999999</v>
      </c>
    </row>
    <row r="234" spans="9:19" x14ac:dyDescent="0.3">
      <c r="I234" s="1" t="str">
        <v>Turkey</v>
      </c>
      <c r="J234" s="22">
        <v>0.85299999999999998</v>
      </c>
      <c r="K234" s="22">
        <v>0.44467676</v>
      </c>
      <c r="L234" s="7">
        <v>87685400</v>
      </c>
      <c r="M234" s="7">
        <v>16393</v>
      </c>
      <c r="N234" s="7">
        <v>34506.980649999998</v>
      </c>
      <c r="O234" s="7">
        <v>0.44467676</v>
      </c>
      <c r="P234" s="7">
        <v>0.85299999999999998</v>
      </c>
      <c r="Q234" s="7">
        <v>-6.9</v>
      </c>
      <c r="R234" s="7">
        <v>77.156000000000006</v>
      </c>
      <c r="S234" s="7">
        <v>8.9862436599999995</v>
      </c>
    </row>
    <row r="235" spans="9:19" x14ac:dyDescent="0.3">
      <c r="I235" s="1" t="str">
        <v>Turkmenistan</v>
      </c>
      <c r="J235" s="22">
        <v>0.76400000000000001</v>
      </c>
      <c r="K235" s="22" t="str">
        <v/>
      </c>
      <c r="L235" s="7">
        <v>7618850</v>
      </c>
      <c r="M235" s="7">
        <v>11689</v>
      </c>
      <c r="N235" s="7">
        <v>17715.58167</v>
      </c>
      <c r="O235" s="7" t="str">
        <v/>
      </c>
      <c r="P235" s="7">
        <v>0.76400000000000001</v>
      </c>
      <c r="Q235" s="7" t="str">
        <v/>
      </c>
      <c r="R235" s="7">
        <v>70.072999999999993</v>
      </c>
      <c r="S235" s="7">
        <v>11.20780193</v>
      </c>
    </row>
    <row r="236" spans="9:19" x14ac:dyDescent="0.3">
      <c r="I236" s="1" t="str">
        <v>Turks and Caicos Islands</v>
      </c>
      <c r="J236" s="22" t="str">
        <v/>
      </c>
      <c r="K236" s="22" t="str">
        <v/>
      </c>
      <c r="L236" s="7">
        <v>46855</v>
      </c>
      <c r="M236" s="7">
        <v>29923</v>
      </c>
      <c r="N236" s="7" t="str">
        <v/>
      </c>
      <c r="O236" s="7" t="str">
        <v/>
      </c>
      <c r="P236" s="7" t="str">
        <v/>
      </c>
      <c r="Q236" s="7" t="str">
        <v/>
      </c>
      <c r="R236" s="7" t="str">
        <v/>
      </c>
      <c r="S236" s="7" t="str">
        <v/>
      </c>
    </row>
    <row r="237" spans="9:19" x14ac:dyDescent="0.3">
      <c r="I237" s="1" t="str">
        <v>Tuvalu</v>
      </c>
      <c r="J237" s="22">
        <v>0.68899999999999995</v>
      </c>
      <c r="K237" s="22">
        <v>0.39139032000000001</v>
      </c>
      <c r="L237" s="7">
        <v>9492</v>
      </c>
      <c r="M237" s="7">
        <v>6848</v>
      </c>
      <c r="N237" s="7">
        <v>7005.5207810000002</v>
      </c>
      <c r="O237" s="7">
        <v>0.39139032000000001</v>
      </c>
      <c r="P237" s="7">
        <v>0.68899999999999995</v>
      </c>
      <c r="Q237" s="7" t="str">
        <v/>
      </c>
      <c r="R237" s="7">
        <v>67.105000000000004</v>
      </c>
      <c r="S237" s="7">
        <v>10.76746107</v>
      </c>
    </row>
    <row r="238" spans="9:19" x14ac:dyDescent="0.3">
      <c r="I238" s="1" t="str">
        <v>Uganda</v>
      </c>
      <c r="J238" s="22">
        <v>0.58199999999999996</v>
      </c>
      <c r="K238" s="22">
        <v>0.42702177000000002</v>
      </c>
      <c r="L238" s="7">
        <v>51384900</v>
      </c>
      <c r="M238" s="7">
        <v>1251</v>
      </c>
      <c r="N238" s="7">
        <v>2736.4100210000001</v>
      </c>
      <c r="O238" s="7">
        <v>0.42702177000000002</v>
      </c>
      <c r="P238" s="7">
        <v>0.58199999999999996</v>
      </c>
      <c r="Q238" s="7" t="str">
        <v/>
      </c>
      <c r="R238" s="7">
        <v>68.251999999999995</v>
      </c>
      <c r="S238" s="7">
        <v>6.3236630820000004</v>
      </c>
    </row>
    <row r="239" spans="9:19" x14ac:dyDescent="0.3">
      <c r="I239" s="1" t="str">
        <v>Ukraine</v>
      </c>
      <c r="J239" s="22">
        <v>0.77900000000000003</v>
      </c>
      <c r="K239" s="22">
        <v>0.25627362999999997</v>
      </c>
      <c r="L239" s="7">
        <v>38980400</v>
      </c>
      <c r="M239" s="7">
        <v>5278</v>
      </c>
      <c r="N239" s="7">
        <v>16933.144530000001</v>
      </c>
      <c r="O239" s="7">
        <v>0.25627362999999997</v>
      </c>
      <c r="P239" s="7">
        <v>0.77900000000000003</v>
      </c>
      <c r="Q239" s="7">
        <v>-47.5</v>
      </c>
      <c r="R239" s="7">
        <v>73.421999999999997</v>
      </c>
      <c r="S239" s="7">
        <v>11.12273899</v>
      </c>
    </row>
    <row r="240" spans="9:19" x14ac:dyDescent="0.3">
      <c r="I240" s="1" t="str">
        <v>United Arab Emirates</v>
      </c>
      <c r="J240" s="22">
        <v>0.94</v>
      </c>
      <c r="K240" s="22">
        <v>0.26399003999999998</v>
      </c>
      <c r="L240" s="7">
        <v>11346000</v>
      </c>
      <c r="M240" s="7">
        <v>48352</v>
      </c>
      <c r="N240" s="7">
        <v>71142.304749999996</v>
      </c>
      <c r="O240" s="7">
        <v>0.26399003999999998</v>
      </c>
      <c r="P240" s="7">
        <v>0.94</v>
      </c>
      <c r="Q240" s="7">
        <v>-13.9</v>
      </c>
      <c r="R240" s="7">
        <v>82.909000000000006</v>
      </c>
      <c r="S240" s="7">
        <v>12.989999770000001</v>
      </c>
    </row>
    <row r="241" spans="9:19" x14ac:dyDescent="0.3">
      <c r="I241" s="1" t="str">
        <v>United Kingdom</v>
      </c>
      <c r="J241" s="22">
        <v>0.94599999999999995</v>
      </c>
      <c r="K241" s="22">
        <v>0.32414632999999998</v>
      </c>
      <c r="L241" s="7">
        <v>69551300</v>
      </c>
      <c r="M241" s="7">
        <v>55199</v>
      </c>
      <c r="N241" s="7">
        <v>54371.586340000002</v>
      </c>
      <c r="O241" s="7">
        <v>0.32414632999999998</v>
      </c>
      <c r="P241" s="7">
        <v>0.94599999999999995</v>
      </c>
      <c r="Q241" s="7">
        <v>13.5</v>
      </c>
      <c r="R241" s="7">
        <v>81.302000000000007</v>
      </c>
      <c r="S241" s="7">
        <v>13.489999770000001</v>
      </c>
    </row>
    <row r="242" spans="9:19" x14ac:dyDescent="0.3">
      <c r="I242" s="1" t="str">
        <v>United States</v>
      </c>
      <c r="J242" s="22">
        <v>0.93799999999999994</v>
      </c>
      <c r="K242" s="22">
        <v>0.41818877999999998</v>
      </c>
      <c r="L242" s="7">
        <v>347276000</v>
      </c>
      <c r="M242" s="7">
        <v>87847</v>
      </c>
      <c r="N242" s="7">
        <v>73650.030769999998</v>
      </c>
      <c r="O242" s="7">
        <v>0.41818877999999998</v>
      </c>
      <c r="P242" s="7">
        <v>0.93799999999999994</v>
      </c>
      <c r="Q242" s="7" t="str">
        <v/>
      </c>
      <c r="R242" s="7">
        <v>79.304000000000002</v>
      </c>
      <c r="S242" s="7">
        <v>13.90999985</v>
      </c>
    </row>
    <row r="243" spans="9:19" x14ac:dyDescent="0.3">
      <c r="I243" s="1" t="str">
        <v>United States Virgin Islands</v>
      </c>
      <c r="J243" s="22" t="str">
        <v/>
      </c>
      <c r="K243" s="22" t="str">
        <v/>
      </c>
      <c r="L243" s="7" t="str">
        <v/>
      </c>
      <c r="M243" s="7" t="str">
        <v/>
      </c>
      <c r="N243" s="7" t="str">
        <v/>
      </c>
      <c r="O243" s="7" t="str">
        <v/>
      </c>
      <c r="P243" s="7" t="str">
        <v/>
      </c>
      <c r="Q243" s="7" t="str">
        <v/>
      </c>
      <c r="R243" s="7" t="str">
        <v/>
      </c>
      <c r="S243" s="7" t="str">
        <v/>
      </c>
    </row>
    <row r="244" spans="9:19" x14ac:dyDescent="0.3">
      <c r="I244" s="1" t="str">
        <v>Uruguay</v>
      </c>
      <c r="J244" s="22">
        <v>0.86199999999999999</v>
      </c>
      <c r="K244" s="22">
        <v>0.40867536999999998</v>
      </c>
      <c r="L244" s="7">
        <v>3384690</v>
      </c>
      <c r="M244" s="7">
        <v>23556</v>
      </c>
      <c r="N244" s="7">
        <v>28649.82199</v>
      </c>
      <c r="O244" s="7">
        <v>0.40867536999999998</v>
      </c>
      <c r="P244" s="7">
        <v>0.86199999999999999</v>
      </c>
      <c r="Q244" s="7">
        <v>29.6</v>
      </c>
      <c r="R244" s="7">
        <v>78.138000000000005</v>
      </c>
      <c r="S244" s="7">
        <v>10.539999959999999</v>
      </c>
    </row>
    <row r="245" spans="9:19" x14ac:dyDescent="0.3">
      <c r="I245" s="1" t="str">
        <v>Uzbekistan</v>
      </c>
      <c r="J245" s="22">
        <v>0.74</v>
      </c>
      <c r="K245" s="22">
        <v>0.34538773</v>
      </c>
      <c r="L245" s="7">
        <v>37053400</v>
      </c>
      <c r="M245" s="7">
        <v>3575</v>
      </c>
      <c r="N245" s="7">
        <v>8825.7308929999999</v>
      </c>
      <c r="O245" s="7">
        <v>0.34538773</v>
      </c>
      <c r="P245" s="7">
        <v>0.74</v>
      </c>
      <c r="Q245" s="7" t="str">
        <v/>
      </c>
      <c r="R245" s="7">
        <v>72.388000000000005</v>
      </c>
      <c r="S245" s="7">
        <v>11.90999985</v>
      </c>
    </row>
    <row r="246" spans="9:19" x14ac:dyDescent="0.3">
      <c r="I246" s="1" t="str">
        <v>Vanuatu</v>
      </c>
      <c r="J246" s="22">
        <v>0.621</v>
      </c>
      <c r="K246" s="22">
        <v>0.32317575999999998</v>
      </c>
      <c r="L246" s="7">
        <v>335169</v>
      </c>
      <c r="M246" s="7">
        <v>3780</v>
      </c>
      <c r="N246" s="7">
        <v>3403.6901929999999</v>
      </c>
      <c r="O246" s="7">
        <v>0.32317575999999998</v>
      </c>
      <c r="P246" s="7">
        <v>0.621</v>
      </c>
      <c r="Q246" s="7" t="str">
        <v/>
      </c>
      <c r="R246" s="7">
        <v>71.477000000000004</v>
      </c>
      <c r="S246" s="7">
        <v>7.1832097270000004</v>
      </c>
    </row>
    <row r="247" spans="9:19" x14ac:dyDescent="0.3">
      <c r="I247" s="1" t="str">
        <v>Vatican City</v>
      </c>
      <c r="J247" s="22" t="str">
        <v/>
      </c>
      <c r="K247" s="22" t="str">
        <v/>
      </c>
      <c r="L247" s="7" t="str">
        <v/>
      </c>
      <c r="M247" s="7" t="str">
        <v/>
      </c>
      <c r="N247" s="7" t="str">
        <v/>
      </c>
      <c r="O247" s="7" t="str">
        <v/>
      </c>
      <c r="P247" s="7" t="str">
        <v/>
      </c>
      <c r="Q247" s="7" t="str">
        <v/>
      </c>
      <c r="R247" s="7" t="str">
        <v/>
      </c>
      <c r="S247" s="7" t="str">
        <v/>
      </c>
    </row>
    <row r="248" spans="9:19" x14ac:dyDescent="0.3">
      <c r="I248" s="1" t="str">
        <v>Venezuela</v>
      </c>
      <c r="J248" s="22">
        <v>0.70899999999999996</v>
      </c>
      <c r="K248" s="22" t="str">
        <v/>
      </c>
      <c r="L248" s="7">
        <v>28516900</v>
      </c>
      <c r="M248" s="7">
        <v>3805</v>
      </c>
      <c r="N248" s="7">
        <v>7157.08</v>
      </c>
      <c r="O248" s="7" t="str">
        <v/>
      </c>
      <c r="P248" s="7">
        <v>0.70899999999999996</v>
      </c>
      <c r="Q248" s="7">
        <v>-30</v>
      </c>
      <c r="R248" s="7">
        <v>72.513999999999996</v>
      </c>
      <c r="S248" s="7">
        <v>9.6783853729999993</v>
      </c>
    </row>
    <row r="249" spans="9:19" x14ac:dyDescent="0.3">
      <c r="I249" s="1" t="str">
        <v>Vietnam</v>
      </c>
      <c r="J249" s="22">
        <v>0.76600000000000001</v>
      </c>
      <c r="K249" s="22">
        <v>0.36093006</v>
      </c>
      <c r="L249" s="7">
        <v>101599000</v>
      </c>
      <c r="M249" s="7">
        <v>4832</v>
      </c>
      <c r="N249" s="7">
        <v>13032.635329999999</v>
      </c>
      <c r="O249" s="7">
        <v>0.36093006</v>
      </c>
      <c r="P249" s="7">
        <v>0.76600000000000001</v>
      </c>
      <c r="Q249" s="7">
        <v>-51.6</v>
      </c>
      <c r="R249" s="7">
        <v>74.587999999999994</v>
      </c>
      <c r="S249" s="7">
        <v>8.9799995419999998</v>
      </c>
    </row>
    <row r="250" spans="9:19" x14ac:dyDescent="0.3">
      <c r="I250" s="1" t="str">
        <v>Wallis and Futuna</v>
      </c>
      <c r="J250" s="22" t="str">
        <v/>
      </c>
      <c r="K250" s="22" t="str">
        <v/>
      </c>
      <c r="L250" s="7" t="str">
        <v/>
      </c>
      <c r="M250" s="7" t="str">
        <v/>
      </c>
      <c r="N250" s="7" t="str">
        <v/>
      </c>
      <c r="O250" s="7" t="str">
        <v/>
      </c>
      <c r="P250" s="7" t="str">
        <v/>
      </c>
      <c r="Q250" s="7" t="str">
        <v/>
      </c>
      <c r="R250" s="7" t="str">
        <v/>
      </c>
      <c r="S250" s="7" t="str">
        <v/>
      </c>
    </row>
    <row r="251" spans="9:19" x14ac:dyDescent="0.3">
      <c r="I251" s="1" t="str">
        <v>Western Sahara</v>
      </c>
      <c r="J251" s="22" t="str">
        <v/>
      </c>
      <c r="K251" s="22" t="str">
        <v/>
      </c>
      <c r="L251" s="7" t="str">
        <v/>
      </c>
      <c r="M251" s="7" t="str">
        <v/>
      </c>
      <c r="N251" s="7" t="str">
        <v/>
      </c>
      <c r="O251" s="7" t="str">
        <v/>
      </c>
      <c r="P251" s="7" t="str">
        <v/>
      </c>
      <c r="Q251" s="7" t="str">
        <v/>
      </c>
      <c r="R251" s="7" t="str">
        <v/>
      </c>
      <c r="S251" s="7" t="str">
        <v/>
      </c>
    </row>
    <row r="252" spans="9:19" x14ac:dyDescent="0.3">
      <c r="I252" s="1" t="str">
        <v>Yemen</v>
      </c>
      <c r="J252" s="22">
        <v>0.47</v>
      </c>
      <c r="K252" s="22">
        <v>0.36707094000000001</v>
      </c>
      <c r="L252" s="7">
        <v>41773900</v>
      </c>
      <c r="M252" s="7">
        <v>417</v>
      </c>
      <c r="N252" s="7">
        <v>1018.2005799999999</v>
      </c>
      <c r="O252" s="7">
        <v>0.36707094000000001</v>
      </c>
      <c r="P252" s="7">
        <v>0.47</v>
      </c>
      <c r="Q252" s="7" t="str">
        <v/>
      </c>
      <c r="R252" s="7">
        <v>69.295000000000002</v>
      </c>
      <c r="S252" s="7">
        <v>5.4841499330000003</v>
      </c>
    </row>
    <row r="253" spans="9:19" x14ac:dyDescent="0.3">
      <c r="I253" s="1" t="str">
        <v>Zambia</v>
      </c>
      <c r="J253" s="22">
        <v>0.59499999999999997</v>
      </c>
      <c r="K253" s="22">
        <v>0.51484949999999996</v>
      </c>
      <c r="L253" s="7">
        <v>21913900</v>
      </c>
      <c r="M253" s="7">
        <v>1319</v>
      </c>
      <c r="N253" s="7">
        <v>3446.6758209999998</v>
      </c>
      <c r="O253" s="7">
        <v>0.51484949999999996</v>
      </c>
      <c r="P253" s="7">
        <v>0.59499999999999997</v>
      </c>
      <c r="Q253" s="7" t="str">
        <v/>
      </c>
      <c r="R253" s="7">
        <v>66.349000000000004</v>
      </c>
      <c r="S253" s="7">
        <v>7.3974085430000001</v>
      </c>
    </row>
    <row r="254" spans="9:19" x14ac:dyDescent="0.3">
      <c r="I254" s="1" t="str">
        <v>Zimbabwe</v>
      </c>
      <c r="J254" s="22">
        <v>0.59799999999999998</v>
      </c>
      <c r="K254" s="22">
        <v>0.50256449999999997</v>
      </c>
      <c r="L254" s="7">
        <v>16950800</v>
      </c>
      <c r="M254" s="7">
        <v>2252</v>
      </c>
      <c r="N254" s="7">
        <v>3511.4632150000002</v>
      </c>
      <c r="O254" s="7">
        <v>0.50256449999999997</v>
      </c>
      <c r="P254" s="7">
        <v>0.59799999999999998</v>
      </c>
      <c r="Q254" s="7" t="str">
        <v/>
      </c>
      <c r="R254" s="7">
        <v>62.774999999999999</v>
      </c>
      <c r="S254" s="7">
        <v>8.9308472160000001</v>
      </c>
    </row>
  </sheetData>
  <mergeCells count="2">
    <mergeCell ref="A19:C19"/>
    <mergeCell ref="B5:B6"/>
  </mergeCells>
  <pageMargins left="0.7" right="0.7" top="0.78740157499999996" bottom="0.78740157499999996" header="0.3" footer="0.3"/>
  <ignoredErrors>
    <ignoredError sqref="L14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57AE9B-DFF0-4E52-B18B-2D88CD18BD5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Data</vt:lpstr>
      <vt:lpstr>Best Country</vt:lpstr>
      <vt:lpstr>Best Country (help)</vt:lpstr>
      <vt:lpstr>Best Country (diagrams)</vt:lpstr>
      <vt:lpstr>Correlations</vt:lpstr>
      <vt:lpstr>Correlations (help)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Burkhardt</dc:creator>
  <cp:lastModifiedBy>Jakob Burkhardt</cp:lastModifiedBy>
  <dcterms:created xsi:type="dcterms:W3CDTF">2026-01-03T09:18:09Z</dcterms:created>
  <dcterms:modified xsi:type="dcterms:W3CDTF">2026-01-06T22:59:00Z</dcterms:modified>
</cp:coreProperties>
</file>